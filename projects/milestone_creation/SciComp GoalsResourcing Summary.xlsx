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7"/>
  <workbookPr/>
  <mc:AlternateContent xmlns:mc="http://schemas.openxmlformats.org/markup-compatibility/2006">
    <mc:Choice Requires="x15">
      <x15ac:absPath xmlns:x15ac="http://schemas.microsoft.com/office/spreadsheetml/2010/11/ac" url="https://alleninstitute.sharepoint.com/sites/NeuralDynamics/Shared Documents/Scientific Computing/Platform Planning/25Q3/"/>
    </mc:Choice>
  </mc:AlternateContent>
  <xr:revisionPtr revIDLastSave="0" documentId="8_{FBF968FB-FF62-4EF5-BE2B-50C645B6C5C9}" xr6:coauthVersionLast="47" xr6:coauthVersionMax="47" xr10:uidLastSave="{00000000-0000-0000-0000-000000000000}"/>
  <bookViews>
    <workbookView xWindow="-110" yWindow="-110" windowWidth="19420" windowHeight="11500" xr2:uid="{00000000-000D-0000-FFFF-FFFF00000000}"/>
  </bookViews>
  <sheets>
    <sheet name="Q3_2025" sheetId="1" r:id="rId1"/>
    <sheet name="SKS Idea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6" i="1" l="1"/>
  <c r="Q76" i="1"/>
  <c r="R76" i="1"/>
  <c r="S76" i="1"/>
  <c r="T76" i="1"/>
  <c r="U76" i="1"/>
  <c r="V76" i="1"/>
  <c r="W76" i="1"/>
  <c r="X76" i="1"/>
  <c r="Y76" i="1"/>
  <c r="Z76" i="1"/>
  <c r="AA76" i="1"/>
  <c r="AB76" i="1"/>
  <c r="AC76" i="1"/>
  <c r="AD76" i="1"/>
  <c r="AE76" i="1"/>
  <c r="AF76" i="1"/>
  <c r="AG76" i="1"/>
  <c r="AH76" i="1"/>
  <c r="AI76" i="1"/>
  <c r="AJ76" i="1"/>
  <c r="AK76" i="1"/>
  <c r="AL76" i="1"/>
  <c r="O76" i="1"/>
  <c r="N76" i="1"/>
  <c r="M76" i="1"/>
  <c r="N57" i="1"/>
  <c r="O54" i="1"/>
  <c r="AC49" i="1"/>
  <c r="AM24" i="1"/>
  <c r="AM25" i="1"/>
  <c r="AM26" i="1"/>
  <c r="AM27" i="1"/>
  <c r="AM28" i="1"/>
  <c r="M29" i="1"/>
  <c r="N29" i="1"/>
  <c r="O29" i="1"/>
  <c r="P29" i="1"/>
  <c r="Q29" i="1"/>
  <c r="R29" i="1"/>
  <c r="S29" i="1"/>
  <c r="T29" i="1"/>
  <c r="U29" i="1"/>
  <c r="V29" i="1"/>
  <c r="W29" i="1"/>
  <c r="X29" i="1"/>
  <c r="Y29" i="1"/>
  <c r="Z29" i="1"/>
  <c r="AA29" i="1"/>
  <c r="AB29" i="1"/>
  <c r="AC29" i="1"/>
  <c r="AD29" i="1"/>
  <c r="AE29" i="1"/>
  <c r="AF29" i="1"/>
  <c r="AG29" i="1"/>
  <c r="AH29" i="1"/>
  <c r="AI29" i="1"/>
  <c r="AL29" i="1"/>
  <c r="AM13" i="1"/>
  <c r="AM14" i="1"/>
  <c r="AM15" i="1"/>
  <c r="AM16" i="1"/>
  <c r="AM18" i="1"/>
  <c r="AM19" i="1"/>
  <c r="AM20" i="1"/>
  <c r="AM21" i="1"/>
  <c r="AM22" i="1"/>
  <c r="AM34" i="1"/>
  <c r="AM36" i="1"/>
  <c r="AM37" i="1"/>
  <c r="AM38" i="1"/>
  <c r="AM39" i="1"/>
  <c r="AM42" i="1"/>
  <c r="AM43" i="1"/>
  <c r="AM44" i="1"/>
  <c r="AM45" i="1"/>
  <c r="AM46" i="1"/>
  <c r="AM48" i="1"/>
  <c r="AM50" i="1"/>
  <c r="AM55" i="1"/>
  <c r="AM58" i="1"/>
  <c r="AM59" i="1"/>
  <c r="AM60" i="1"/>
  <c r="AM62" i="1"/>
  <c r="AM63" i="1"/>
  <c r="AM64" i="1"/>
  <c r="AM65" i="1"/>
  <c r="AM67" i="1"/>
  <c r="AM68" i="1"/>
  <c r="AM69" i="1"/>
  <c r="AM70" i="1"/>
  <c r="AM72" i="1"/>
  <c r="AM73" i="1"/>
  <c r="AM74" i="1"/>
  <c r="AM77" i="1"/>
  <c r="AM78" i="1"/>
  <c r="AM79" i="1"/>
  <c r="AM80" i="1"/>
  <c r="AM81" i="1"/>
  <c r="AM82" i="1"/>
  <c r="AM83" i="1"/>
  <c r="AM84" i="1"/>
  <c r="AM85" i="1"/>
  <c r="AM86" i="1"/>
  <c r="AM87" i="1"/>
  <c r="AM88" i="1"/>
  <c r="AM89" i="1"/>
  <c r="AM90" i="1"/>
  <c r="AM91" i="1"/>
  <c r="AM92" i="1"/>
  <c r="AM93" i="1"/>
  <c r="AM94" i="1"/>
  <c r="AM95" i="1"/>
  <c r="AM96" i="1"/>
  <c r="AL49" i="1"/>
  <c r="AB49" i="1"/>
  <c r="AD49" i="1"/>
  <c r="AE49" i="1"/>
  <c r="AF49" i="1"/>
  <c r="AG49" i="1"/>
  <c r="AH49" i="1"/>
  <c r="AI49" i="1"/>
  <c r="AJ49" i="1"/>
  <c r="AK49" i="1"/>
  <c r="U49" i="1"/>
  <c r="V49" i="1"/>
  <c r="W49" i="1"/>
  <c r="X49" i="1"/>
  <c r="Y49" i="1"/>
  <c r="Z49" i="1"/>
  <c r="AA49" i="1"/>
  <c r="P49" i="1"/>
  <c r="Q49" i="1"/>
  <c r="R49" i="1"/>
  <c r="S49" i="1"/>
  <c r="T49" i="1"/>
  <c r="N49" i="1"/>
  <c r="O49" i="1"/>
  <c r="M49" i="1"/>
  <c r="N97" i="1"/>
  <c r="O97" i="1"/>
  <c r="P97" i="1"/>
  <c r="Q97" i="1"/>
  <c r="R97" i="1"/>
  <c r="S97" i="1"/>
  <c r="T97" i="1"/>
  <c r="U97" i="1"/>
  <c r="V97" i="1"/>
  <c r="W97" i="1"/>
  <c r="X97" i="1"/>
  <c r="Y97" i="1"/>
  <c r="Z97" i="1"/>
  <c r="AA97" i="1"/>
  <c r="AB97" i="1"/>
  <c r="AC97" i="1"/>
  <c r="AD97" i="1"/>
  <c r="AE97" i="1"/>
  <c r="AF97" i="1"/>
  <c r="AG97" i="1"/>
  <c r="AH97" i="1"/>
  <c r="AI97" i="1"/>
  <c r="AJ97" i="1"/>
  <c r="AK97" i="1"/>
  <c r="AL97" i="1"/>
  <c r="M97" i="1"/>
  <c r="N71" i="1"/>
  <c r="O71" i="1"/>
  <c r="P71" i="1"/>
  <c r="Q71" i="1"/>
  <c r="R71" i="1"/>
  <c r="S71" i="1"/>
  <c r="T71" i="1"/>
  <c r="U71" i="1"/>
  <c r="V71" i="1"/>
  <c r="W71" i="1"/>
  <c r="X71" i="1"/>
  <c r="Y71" i="1"/>
  <c r="Z71" i="1"/>
  <c r="AA71" i="1"/>
  <c r="AB71" i="1"/>
  <c r="AC71" i="1"/>
  <c r="AD71" i="1"/>
  <c r="AE71" i="1"/>
  <c r="AF71" i="1"/>
  <c r="AG71" i="1"/>
  <c r="AH71" i="1"/>
  <c r="AI71" i="1"/>
  <c r="AJ71" i="1"/>
  <c r="AK71" i="1"/>
  <c r="AL71" i="1"/>
  <c r="M71" i="1"/>
  <c r="N66" i="1"/>
  <c r="O66" i="1"/>
  <c r="P66" i="1"/>
  <c r="Q66" i="1"/>
  <c r="R66" i="1"/>
  <c r="S66" i="1"/>
  <c r="T66" i="1"/>
  <c r="U66" i="1"/>
  <c r="V66" i="1"/>
  <c r="W66" i="1"/>
  <c r="X66" i="1"/>
  <c r="Y66" i="1"/>
  <c r="Z66" i="1"/>
  <c r="AA66" i="1"/>
  <c r="AB66" i="1"/>
  <c r="AC66" i="1"/>
  <c r="AD66" i="1"/>
  <c r="AE66" i="1"/>
  <c r="AF66" i="1"/>
  <c r="AG66" i="1"/>
  <c r="AH66" i="1"/>
  <c r="AI66" i="1"/>
  <c r="AJ66" i="1"/>
  <c r="AK66" i="1"/>
  <c r="AL66" i="1"/>
  <c r="M66" i="1"/>
  <c r="N61" i="1"/>
  <c r="O61" i="1"/>
  <c r="P61" i="1"/>
  <c r="Q61" i="1"/>
  <c r="R61" i="1"/>
  <c r="S61" i="1"/>
  <c r="T61" i="1"/>
  <c r="U61" i="1"/>
  <c r="V61" i="1"/>
  <c r="W61" i="1"/>
  <c r="X61" i="1"/>
  <c r="Y61" i="1"/>
  <c r="Z61" i="1"/>
  <c r="AA61" i="1"/>
  <c r="AB61" i="1"/>
  <c r="AC61" i="1"/>
  <c r="AD61" i="1"/>
  <c r="AE61" i="1"/>
  <c r="AF61" i="1"/>
  <c r="AG61" i="1"/>
  <c r="AH61" i="1"/>
  <c r="AI61" i="1"/>
  <c r="AJ61" i="1"/>
  <c r="AK61" i="1"/>
  <c r="AL61" i="1"/>
  <c r="M61" i="1"/>
  <c r="O57" i="1"/>
  <c r="P57" i="1"/>
  <c r="Q57" i="1"/>
  <c r="R57" i="1"/>
  <c r="S57" i="1"/>
  <c r="T57" i="1"/>
  <c r="U57" i="1"/>
  <c r="V57" i="1"/>
  <c r="W57" i="1"/>
  <c r="X57" i="1"/>
  <c r="Y57" i="1"/>
  <c r="Z57" i="1"/>
  <c r="AA57" i="1"/>
  <c r="AB57" i="1"/>
  <c r="AC57" i="1"/>
  <c r="AD57" i="1"/>
  <c r="AE57" i="1"/>
  <c r="AF57" i="1"/>
  <c r="AG57" i="1"/>
  <c r="AH57" i="1"/>
  <c r="AI57" i="1"/>
  <c r="AJ57" i="1"/>
  <c r="AK57" i="1"/>
  <c r="AL57" i="1"/>
  <c r="M57" i="1"/>
  <c r="N54" i="1"/>
  <c r="P54" i="1"/>
  <c r="Q54" i="1"/>
  <c r="R54" i="1"/>
  <c r="S54" i="1"/>
  <c r="T54" i="1"/>
  <c r="U54" i="1"/>
  <c r="V54" i="1"/>
  <c r="W54" i="1"/>
  <c r="X54" i="1"/>
  <c r="Y54" i="1"/>
  <c r="Z54" i="1"/>
  <c r="AA54" i="1"/>
  <c r="AB54" i="1"/>
  <c r="AC54" i="1"/>
  <c r="AD54" i="1"/>
  <c r="AE54" i="1"/>
  <c r="AF54" i="1"/>
  <c r="AG54" i="1"/>
  <c r="AH54" i="1"/>
  <c r="AI54" i="1"/>
  <c r="AJ54" i="1"/>
  <c r="AK54" i="1"/>
  <c r="AL54" i="1"/>
  <c r="M54" i="1"/>
  <c r="N35" i="1"/>
  <c r="O35" i="1"/>
  <c r="P35" i="1"/>
  <c r="Q35" i="1"/>
  <c r="R35" i="1"/>
  <c r="S35" i="1"/>
  <c r="T35" i="1"/>
  <c r="U35" i="1"/>
  <c r="V35" i="1"/>
  <c r="W35" i="1"/>
  <c r="X35" i="1"/>
  <c r="Y35" i="1"/>
  <c r="Z35" i="1"/>
  <c r="AA35" i="1"/>
  <c r="AB35" i="1"/>
  <c r="AC35" i="1"/>
  <c r="AD35" i="1"/>
  <c r="AE35" i="1"/>
  <c r="AF35" i="1"/>
  <c r="AG35" i="1"/>
  <c r="AH35" i="1"/>
  <c r="AI35" i="1"/>
  <c r="AJ35" i="1"/>
  <c r="AK35" i="1"/>
  <c r="AL35" i="1"/>
  <c r="M35" i="1"/>
  <c r="M17" i="1"/>
  <c r="AJ17" i="1"/>
  <c r="AK17" i="1"/>
  <c r="AI10" i="1"/>
  <c r="AJ10" i="1"/>
  <c r="AK10" i="1"/>
  <c r="S23" i="1"/>
  <c r="T23" i="1"/>
  <c r="U23" i="1"/>
  <c r="V23" i="1"/>
  <c r="W23" i="1"/>
  <c r="X23" i="1"/>
  <c r="Y23" i="1"/>
  <c r="Z23" i="1"/>
  <c r="AA23" i="1"/>
  <c r="AB23" i="1"/>
  <c r="AC23" i="1"/>
  <c r="AD23" i="1"/>
  <c r="AE23" i="1"/>
  <c r="AF23" i="1"/>
  <c r="AG23" i="1"/>
  <c r="AH23" i="1"/>
  <c r="AI23" i="1"/>
  <c r="AL23" i="1"/>
  <c r="M23" i="1"/>
  <c r="N23" i="1"/>
  <c r="O23" i="1"/>
  <c r="P23" i="1"/>
  <c r="R17" i="1"/>
  <c r="S17" i="1"/>
  <c r="T17" i="1"/>
  <c r="U17" i="1"/>
  <c r="V17" i="1"/>
  <c r="W17" i="1"/>
  <c r="X17" i="1"/>
  <c r="Y17" i="1"/>
  <c r="Z17" i="1"/>
  <c r="AA17" i="1"/>
  <c r="AB17" i="1"/>
  <c r="AC17" i="1"/>
  <c r="AD17" i="1"/>
  <c r="AE17" i="1"/>
  <c r="AF17" i="1"/>
  <c r="AG17" i="1"/>
  <c r="AH17" i="1"/>
  <c r="AI17" i="1"/>
  <c r="AL17" i="1"/>
  <c r="N17" i="1"/>
  <c r="O17" i="1"/>
  <c r="P17" i="1"/>
  <c r="Q23" i="1"/>
  <c r="AM11" i="1"/>
  <c r="AM12" i="1"/>
  <c r="M10" i="1"/>
  <c r="N10" i="1"/>
  <c r="O10" i="1"/>
  <c r="P10" i="1"/>
  <c r="Q10" i="1"/>
  <c r="S10" i="1"/>
  <c r="T10" i="1"/>
  <c r="U10" i="1"/>
  <c r="V10" i="1"/>
  <c r="W10" i="1"/>
  <c r="X10" i="1"/>
  <c r="Y10" i="1"/>
  <c r="Z10" i="1"/>
  <c r="AA10" i="1"/>
  <c r="AB10" i="1"/>
  <c r="AC10" i="1"/>
  <c r="AD10" i="1"/>
  <c r="AE10" i="1"/>
  <c r="AF10" i="1"/>
  <c r="AG10" i="1"/>
  <c r="AH10" i="1"/>
  <c r="AL10" i="1"/>
  <c r="AM5" i="1"/>
  <c r="AM6" i="1"/>
  <c r="AM7" i="1"/>
  <c r="AM8" i="1"/>
  <c r="AM9" i="1"/>
  <c r="AM4" i="1"/>
  <c r="Q17" i="1"/>
  <c r="R23" i="1"/>
  <c r="R10" i="1"/>
  <c r="AG98" i="1" l="1"/>
  <c r="AF98" i="1"/>
  <c r="AD98" i="1"/>
  <c r="P98" i="1"/>
  <c r="AH98" i="1"/>
  <c r="AE98" i="1"/>
  <c r="R98" i="1"/>
  <c r="O98" i="1"/>
  <c r="N98" i="1"/>
  <c r="AK98" i="1"/>
  <c r="AJ98" i="1"/>
  <c r="AI98" i="1"/>
  <c r="Q98" i="1"/>
  <c r="AC98" i="1"/>
  <c r="AB98" i="1"/>
  <c r="M98" i="1"/>
  <c r="Y98" i="1"/>
  <c r="X98" i="1"/>
  <c r="AL98" i="1"/>
  <c r="W98" i="1"/>
  <c r="V98" i="1"/>
  <c r="U98" i="1"/>
  <c r="T98" i="1"/>
  <c r="S98" i="1"/>
  <c r="AA98" i="1"/>
  <c r="Z98" i="1"/>
  <c r="AM29" i="1"/>
  <c r="AM35" i="1"/>
  <c r="AM61" i="1"/>
  <c r="AM66" i="1"/>
  <c r="AM71" i="1"/>
  <c r="AM57" i="1"/>
  <c r="AM54" i="1"/>
  <c r="AM23" i="1"/>
  <c r="AM76" i="1"/>
  <c r="AM17" i="1"/>
  <c r="AM49" i="1"/>
  <c r="AM97" i="1"/>
  <c r="AM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tc={AB73BDE4-4A3D-4377-B2BC-BD4E58747338}</author>
    <author>tc={8626E870-CC68-49F6-B97B-F7FDC39C982C}</author>
    <author>tc={72F5CB72-D5DF-41C3-AEE6-C4EDED7463CB}</author>
    <author>tc={DF0E8507-0CB5-4DFF-B4C2-9F00C1751032}</author>
    <author>tc={B30D721E-504C-471F-9824-A5FE73278585}</author>
    <author>tc={1CFA385F-C305-4285-AB7F-1CDEBBC87B09}</author>
    <author>tc={D54C3EF2-16DD-47B4-A9C7-4E80352651EB}</author>
    <author>tc={B7F6EB1C-BAC3-0C4F-B104-997219223E8A}</author>
    <author>tc={823977C3-8DB2-E946-A891-E2AB30AB5BB8}</author>
  </authors>
  <commentList>
    <comment ref="F2" authorId="0" shapeId="0" xr:uid="{AB73BDE4-4A3D-4377-B2BC-BD4E58747338}">
      <text>
        <t>[Threaded comment]
Your version of Excel allows you to read this threaded comment; however, any edits to it will get removed if the file is opened in a newer version of Excel. Learn more: https://go.microsoft.com/fwlink/?linkid=870924
Comment:
    @Doug Ollerenshaw do you have a definition for these sizes? SIPE uses hours, would that apply? 
Reply:
    Here's the legend for priority and size that David included in the original document for people to use when making these estimates:
P0 = critical, P1 = important, P2 = nice to have 
tiny = hours, small = days, medium = weeks, large = months 
I'm not sure everyone is calibrated quite the same, though. Anything labeled "Large" should likely be &gt; 4-5 weeks. Given that our rule of thumb was 1 week = 10%, that'd be at least 40-50% of an FTE for the quarter, which isn't always the case. 
Maybe these qualitative size labels should just be left off in the future and we can just estimate FTE time for each.</t>
      </text>
    </comment>
    <comment ref="H14" authorId="1" shapeId="0" xr:uid="{8626E870-CC68-49F6-B97B-F7FDC39C982C}">
      <text>
        <t>[Threaded comment]
Your version of Excel allows you to read this threaded comment; however, any edits to it will get removed if the file is opened in a newer version of Excel. Learn more: https://go.microsoft.com/fwlink/?linkid=870924
Comment:
    I'm not sure there is a general purpose tool here. Perhaps a basic starter/template app that folks can build on for their own pipelines. Unless we are offering to help with a specific dashboard - i.e. DF or VRF.
Reply:
    @Arielle Leon , should we adjust this goal?</t>
      </text>
    </comment>
    <comment ref="D34" authorId="2" shapeId="0" xr:uid="{72F5CB72-D5DF-41C3-AEE6-C4EDED7463C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@Arielle Leon we should call out support for brucker rigs here</t>
      </text>
    </comment>
    <comment ref="D55" authorId="3" shapeId="0" xr:uid="{DF0E8507-0CB5-4DFF-B4C2-9F00C175103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referencing the glutamate imaging pipeline? Or also for BCI?
Reply:
    @David Feng , could you answer here?</t>
      </text>
    </comment>
    <comment ref="H56" authorId="4" shapeId="0" xr:uid="{B30D721E-504C-471F-9824-A5FE7327858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Is this implementation in the cloud? 
Reply:
    @David Feng , could you answer here?</t>
      </text>
    </comment>
    <comment ref="A58" authorId="5" shapeId="0" xr:uid="{1CFA385F-C305-4285-AB7F-1CDEBBC87B0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@Sharmishtaa Seshamani add a row for new smartspim template with spinal cord</t>
      </text>
    </comment>
    <comment ref="A72" authorId="6" shapeId="0" xr:uid="{D54C3EF2-16DD-47B4-A9C7-4E80352651E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@Sharmishtaa Seshamani  add 3D tracking pipeline support</t>
      </text>
    </comment>
    <comment ref="D78" authorId="7" shapeId="0" xr:uid="{B7F6EB1C-BAC3-0C4F-B104-997219223E8A}">
      <text>
        <t>[Threaded comment]
Your version of Excel allows you to read this threaded comment; however, any edits to it will get removed if the file is opened in a newer version of Excel. Learn more: https://go.microsoft.com/fwlink/?linkid=870924
Comment:
    The D&amp;O time for this is in the v2 deployment metric. Let’s remove Doug and Dan’s time from this and point to that.
Reply:
    I removed this time from the spreadsheet and also noted in the word doc that time is accounted in the D&amp;O goals doc.</t>
      </text>
    </comment>
    <comment ref="AE88" authorId="8" shapeId="0" xr:uid="{823977C3-8DB2-E946-A891-E2AB30AB5BB8}">
      <text>
        <t>[Threaded comment]
Your version of Excel allows you to read this threaded comment; however, any edits to it will get removed if the file is opened in a newer version of Excel. Learn more: https://go.microsoft.com/fwlink/?linkid=870924
Comment:
    This is a duplicate of Sreya’s time allocated in the D&amp;O goals (as this is part of those goals). Let’s not duplicate her time here.
Reply:
    Removed.</t>
      </text>
    </comment>
  </commentList>
</comments>
</file>

<file path=xl/sharedStrings.xml><?xml version="1.0" encoding="utf-8"?>
<sst xmlns="http://schemas.openxmlformats.org/spreadsheetml/2006/main" count="649" uniqueCount="396">
  <si>
    <t>Project/goal definitions</t>
  </si>
  <si>
    <t>Resource Allocations</t>
  </si>
  <si>
    <t>Resourcing Summary</t>
  </si>
  <si>
    <t>Project/platform</t>
  </si>
  <si>
    <t>SciComp Lead</t>
  </si>
  <si>
    <t>Planning Doc Link</t>
  </si>
  <si>
    <t>Goal/Milestone</t>
  </si>
  <si>
    <t>Priority</t>
  </si>
  <si>
    <t>Size</t>
  </si>
  <si>
    <t>Current Status</t>
  </si>
  <si>
    <t>Summary of Work</t>
  </si>
  <si>
    <t>Success Criteria</t>
  </si>
  <si>
    <t xml:space="preserve">Risks/dependencies </t>
  </si>
  <si>
    <t>Compute Needs</t>
  </si>
  <si>
    <t>Stakeholders</t>
  </si>
  <si>
    <t>Physiology and Behavior Team</t>
  </si>
  <si>
    <t>Data Infrastructure Team</t>
  </si>
  <si>
    <t>Data and Outreach Team</t>
  </si>
  <si>
    <t>Computer Vision Team</t>
  </si>
  <si>
    <t>David</t>
  </si>
  <si>
    <t>Johannes</t>
  </si>
  <si>
    <t>Alessio</t>
  </si>
  <si>
    <t>Arielle</t>
  </si>
  <si>
    <t>Arjun</t>
  </si>
  <si>
    <t>Ahad</t>
  </si>
  <si>
    <t>Clark</t>
  </si>
  <si>
    <t>Sean</t>
  </si>
  <si>
    <t>Jon</t>
  </si>
  <si>
    <t>Helen</t>
  </si>
  <si>
    <t>Yosef</t>
  </si>
  <si>
    <t>Mekhla</t>
  </si>
  <si>
    <t>Ajar</t>
  </si>
  <si>
    <t>Saskia</t>
  </si>
  <si>
    <t>Doug</t>
  </si>
  <si>
    <t>Dan</t>
  </si>
  <si>
    <t>Suyee</t>
  </si>
  <si>
    <t>Tom</t>
  </si>
  <si>
    <t>Sreya</t>
  </si>
  <si>
    <t>Sharmi</t>
  </si>
  <si>
    <t>Jonathan</t>
  </si>
  <si>
    <t>Di</t>
  </si>
  <si>
    <t>Camilo</t>
  </si>
  <si>
    <t>Cameron</t>
  </si>
  <si>
    <t>Anna</t>
  </si>
  <si>
    <t>Carson</t>
  </si>
  <si>
    <t>Behavior</t>
  </si>
  <si>
    <t>LINK</t>
  </si>
  <si>
    <t>VR Foraging processed QC and NWB packaging capsule</t>
  </si>
  <si>
    <t>P0</t>
  </si>
  <si>
    <t>medium</t>
  </si>
  <si>
    <t xml:space="preserve">The work is a carryover from Q2 and is in progress but not complete. </t>
  </si>
  <si>
    <t>This capsule should use the rig.json to identify which Harp registers/lines are active during a VR Foraging session. The capsule will be configured to read only these active lines from the raw NWB and determine if they are events or continuous data. The event signals will be documented in the processed event table. QC plots will need to be identified from the event data as well as any QC defined by the user.  </t>
  </si>
  <si>
    <t>Combine existing VR Foraging capsules into a full production pipeline</t>
  </si>
  <si>
    <t>small</t>
  </si>
  <si>
    <t xml:space="preserve">Not started. </t>
  </si>
  <si>
    <t xml:space="preserve">Combine the raw and processing VR Foraging NWB packaging capsules into a pipeline which will output a final NWB plus relevant metadata.  </t>
  </si>
  <si>
    <t>Create behavior pipeline template</t>
  </si>
  <si>
    <t>P2</t>
  </si>
  <si>
    <t xml:space="preserve">We plan to build a generic template of a processing pipeline to help users to build their own pipeline. This should help reduce reliance on scientific computing for future behavior projects. </t>
  </si>
  <si>
    <t>Upgrade metadata to schema 2.0</t>
  </si>
  <si>
    <t>• Identify all instruments using physio-behavior processing pipelines 
• Update pipelines to be backwards compatible with 1.x and 2.0 schema versions 
• Update metadata mapper code 
• Coordinate with users to get code deployed on rigs (make an excel sheet to track what's been done and what's been deployed) 
• Do we need to help with rig.jsons?</t>
  </si>
  <si>
    <t>BCI behavior wrap-up</t>
  </si>
  <si>
    <t xml:space="preserve">This is a continuation of work begun in the leadup to the May UW Hackathon event. </t>
  </si>
  <si>
    <t xml:space="preserve">Finish work related to the BCI behavior task. We made substantial progress in cleaning up the data processing pipeline during preparations for the May hackathon at UW. It’s important to maintain this momentum to ensure that these efforts are translated into a robust processing pipeline. </t>
  </si>
  <si>
    <t>Ongoing support (solving github issues)</t>
  </si>
  <si>
    <t>P1</t>
  </si>
  <si>
    <t xml:space="preserve">Provide ongoing support for existing pipelines. This involves triaging and solving issues submitted by scientists through Github. </t>
  </si>
  <si>
    <t>TOTAL</t>
  </si>
  <si>
    <t>Analysis</t>
  </si>
  <si>
    <t>NWB API for multi-modal analysis</t>
  </si>
  <si>
    <t xml:space="preserve">There is no way for users to run session level analysis with distinct, multi-modal NWBs. </t>
  </si>
  <si>
    <t xml:space="preserve">Build a tool that will allow users who are running session level analysis to interact with distinct, multi-modal NWBs as if they were interacting with one. The tool will need to read in the distinct NWBs and return a single NWB object for the user to interact with.  </t>
  </si>
  <si>
    <t>Scaled analysis</t>
  </si>
  <si>
    <t xml:space="preserve">Job dispatch and analysis wrapper templates exist as well as a pipeline but do not contain instructions on how to work with the pipeline. The goal is to create a low-friction user experience for running scaled, versioned analysis. </t>
  </si>
  <si>
    <t xml:space="preserve">The analysis pipeline needs to support multiple analysis per derived asset. We will scale from N jobs (current system) to N x M jobs, where N = derived asset and M = analysis type </t>
  </si>
  <si>
    <t>Add nested outputs to job-dispatch</t>
  </si>
  <si>
    <t xml:space="preserve">Does not exist. </t>
  </si>
  <si>
    <t xml:space="preserve">Users need the ability to pass nested, or grouped, asset ids to their analysis wrapper. For example, a query should output groups of assets that can be passed to a given analysis capsule.  </t>
  </si>
  <si>
    <t>Viewing application of analysis results</t>
  </si>
  <si>
    <t>Users need to check the results of their analysis after running the analysis pipeline. This can be achieved by building a Panel application that can query analysis location information from analysis collections in the document database. </t>
  </si>
  <si>
    <t>Documentation and templates</t>
  </si>
  <si>
    <t>Working on finalizing templates for both the job dispatch and analysis wrapper</t>
  </si>
  <si>
    <t>Publish documentation with clear examples on how to use the analysis pipeline. The goal is to create a template pipeline with clear instructions that would be frictionless for any non-power user to replicate. </t>
  </si>
  <si>
    <t xml:space="preserve">Continuous analysis pipeline </t>
  </si>
  <si>
    <t xml:space="preserve">For analysis that needs to be run on all derived assets output from a processing pipeline, a system is required that can check for new assets as they are processed. The trigger system will need access to the results collection so that it can check if analysis has already been run on a given asset. </t>
  </si>
  <si>
    <t>Fiber Photometry</t>
  </si>
  <si>
    <t>Release fiber-only pipeline</t>
  </si>
  <si>
    <t xml:space="preserve">It has been built. Just needs final touches </t>
  </si>
  <si>
    <t>The fiber pipeline has been built - but it needs to check off the steps to make it officially complete. To be complete, it must contain all valid metadata, move it to main and build and official CO release.</t>
  </si>
  <si>
    <t>Backlog re-processing</t>
  </si>
  <si>
    <t>tiny</t>
  </si>
  <si>
    <t xml:space="preserve">Not started </t>
  </si>
  <si>
    <t xml:space="preserve">Reprocess backlog tickets. </t>
  </si>
  <si>
    <t>Convert rigs to upload using modular pipelines</t>
  </si>
  <si>
    <t>Coordinate with users to submit jobs to the aind-data-transfer service V2 and point to the fiber specific job - type that will process through both fiber and behavior pipelines</t>
  </si>
  <si>
    <t>Dataverse - PowerApps</t>
  </si>
  <si>
    <t>Data tables in Dataverse for Waterlog</t>
  </si>
  <si>
    <t xml:space="preserve">Architectual work as well as some data tables have been made. </t>
  </si>
  <si>
    <t xml:space="preserve">Implementation and validation of tables in the AIBS Dataverse environment. The waterlog application will post data to Dataverse and LIMS (initially). </t>
  </si>
  <si>
    <t xml:space="preserve">Write data to Dataverse successfully from the waterlog application. </t>
  </si>
  <si>
    <t>Two-way integration and restriction tracking</t>
  </si>
  <si>
    <t xml:space="preserve">Not done. </t>
  </si>
  <si>
    <t xml:space="preserve">Waterlog can read and write to Dataverse. More tables will need to be added for state changes (water on-off) for mice in active behavior. </t>
  </si>
  <si>
    <t xml:space="preserve">Behavior protocol integration and automation </t>
  </si>
  <si>
    <t xml:space="preserve">Application viewer for users to determine where the mouse is in its behavior protocol. Model full behavioral training progression and enable automated transitions and calculations as extra validation for water restricting mice. </t>
  </si>
  <si>
    <t>Inventory system</t>
  </si>
  <si>
    <t>Medium/Large</t>
  </si>
  <si>
    <t xml:space="preserve">Create types of locations (freezer, bench top, etc.), types of inventories (reagent, dyes, viruses, etc.) and their supporting information, status of items (empty, full, etc.) and add logic around how it shows up in inventory. Export data in SLIMS and upload to Dataverse. Requires barcoding, build flows and create forms for users to view / update items in system. </t>
  </si>
  <si>
    <t>Ongoing support for transition from SLIMS to Dataverse</t>
  </si>
  <si>
    <t xml:space="preserve">Supporting users in SLIMS while the transition is ongoing into Dataverse. This includes but is not limited to exporting data from SLIMS to Dataverse. Maintaining current workflows and remap data to the Dataverse system. </t>
  </si>
  <si>
    <t>2P Ophys</t>
  </si>
  <si>
    <t>Cell matching evaluation in qc portal</t>
  </si>
  <si>
    <t>Not started</t>
  </si>
  <si>
    <t>For all child sessions acquired on the mesoscope, we need an evaluation that will reference the parent session images for cell matching. DocDB should be queried to look for earliest creation date with passed QC.  </t>
  </si>
  <si>
    <t>Create ISI metadata and ISI capsule</t>
  </si>
  <si>
    <t>Finished</t>
  </si>
  <si>
    <t>David, Di will build the ISI capsule and Arielle will attach metadata to it</t>
  </si>
  <si>
    <t>Test and point rigs to upload to the new pipeline</t>
  </si>
  <si>
    <t>Coordinate with users to submit jobs to the aind-data-transfer service V2 and point to the fiber specific job - type that will process through both ophys and behavior pipelines</t>
  </si>
  <si>
    <t>Data and metadata cleanup</t>
  </si>
  <si>
    <t xml:space="preserve">Fix derived data descriptions, session metadata and any other metadata that needs to be updated. Remove duplicate sessions. </t>
  </si>
  <si>
    <t>Ongoing support (supporting releases and summer workshop)</t>
  </si>
  <si>
    <t>Data &amp; Outreach</t>
  </si>
  <si>
    <t>SWDB</t>
  </si>
  <si>
    <t>Large</t>
  </si>
  <si>
    <t xml:space="preserve">Prepare and run the Summer Workshop. Preparations are currently underway for the course that is being held August 24-Sept 7th. Key activities include: 
* Prepare V1DD data. We are replacing MICrONS data with the V1DD data for the first time. This data also needs to be uploaded to DANDI in support of two preprint/publications using it. 
* Prepare NP Ultra data. Finalize NWB files and metadata. 
* Prepare Dynamic Foraging data. 
* Clean up BCI. 
* Update DataBook for each of these. </t>
  </si>
  <si>
    <t>Manuscript on Chatbot</t>
  </si>
  <si>
    <t xml:space="preserve">Write a manuscript on the metadata chatbot that describes the tools and the benchmarking results. </t>
  </si>
  <si>
    <t xml:space="preserve">Draft of a manuscript on chatbot and benchmarking </t>
  </si>
  <si>
    <t>Continued development of Chatbot</t>
  </si>
  <si>
    <t>Medium</t>
  </si>
  <si>
    <t xml:space="preserve">Continue to improve chatbot and mcp performance </t>
  </si>
  <si>
    <t>AIND Data Schema v2.0 deployment</t>
  </si>
  <si>
    <t xml:space="preserve">V2.0 is being released this week. The upgrader is working on upgrading existing 1.0 records, and identifying migration issues in its wake.  </t>
  </si>
  <si>
    <t xml:space="preserve">* Upgrade existing records (80% success?) 
* Release tutorial on creating metadata  
* Metadata mappers updated 
* Update QC and metadata portals to use v2 </t>
  </si>
  <si>
    <t>Analysis Architecture</t>
  </si>
  <si>
    <t>Support external users</t>
  </si>
  <si>
    <t>Help Templeton collaborators get data and metadata into the platform</t>
  </si>
  <si>
    <t>External data successfully on platform and a system for ongoing upload is in place</t>
  </si>
  <si>
    <t>LC Paper publication</t>
  </si>
  <si>
    <t xml:space="preserve">v2.0 is being released this week. The upgrader is working on upgrading existing 1.0 records, and identifying migration issues in its wake.  </t>
  </si>
  <si>
    <t xml:space="preserve">* Sue’s metadata created for historic data 
* Clean up existing records 
* Support new sequencing modalities (stretch) 
* Morphology analysis 
* Create public collection of assets and capsules </t>
  </si>
  <si>
    <t>Data Challenge</t>
  </si>
  <si>
    <t xml:space="preserve">Preparation for a data challenge on image compression to be held in early 2026. Kaggle research application is due August 11th.  </t>
  </si>
  <si>
    <t xml:space="preserve">* Define data for data challenge.  
* Define metrics of evaluation 
* Submit application to Kaggle (deadline August 11th ).  </t>
  </si>
  <si>
    <t>Move Dynamic Routing data into the public bucket</t>
  </si>
  <si>
    <t xml:space="preserve">Much of our data is still being put into private buckets. We are working to move assets into the open bucket in compliance with our policy and to facilitate making public collections. This involves fixing a lot of missing metadata, so it can’t be completed in one shot. We have created a dashboard to track data in different buckets according to project. </t>
  </si>
  <si>
    <t>Move all of the data for “Dynamic Routing” to the open data bucket to support upcoming paper</t>
  </si>
  <si>
    <t>Other summer workshops</t>
  </si>
  <si>
    <t>Small</t>
  </si>
  <si>
    <t xml:space="preserve">Participating in TReND (remotely), the Coding Workshop, the Technical Workshop. </t>
  </si>
  <si>
    <t xml:space="preserve">Finalize presentations </t>
  </si>
  <si>
    <t>Fall workshop planning</t>
  </si>
  <si>
    <t xml:space="preserve">We are planning a UW CNC hackathon in the fall as well as a workshop at WWU. These will be in Q4, but planning will need to happen before then. The WWU should largely leverage existing content. The UW event will likely involve some preparation for hackathon notebooks, etc. Ideally this will leverage content from SWDB. </t>
  </si>
  <si>
    <t>protocol and website</t>
  </si>
  <si>
    <t xml:space="preserve">Platform Paper </t>
  </si>
  <si>
    <t xml:space="preserve">Write a manuscript on the data platform strategy that highlights our infrastructure and philosophy.  </t>
  </si>
  <si>
    <t>Full draft ready for submission</t>
  </si>
  <si>
    <t>Ephys</t>
  </si>
  <si>
    <t>Reliable chronic electrophysiology uploads</t>
  </si>
  <si>
    <t>Testing</t>
  </si>
  <si>
    <t>Finalize and test the chronic ephys chunked uploads and compression job.</t>
  </si>
  <si>
    <t>Production run succeeds without issue.</t>
  </si>
  <si>
    <t>Coordination with SciComp</t>
  </si>
  <si>
    <t>Carl Schoonover</t>
  </si>
  <si>
    <t>Chronic Spike Sorting</t>
  </si>
  <si>
    <t>Develop sorting workflow that is compatible with chronic recordings</t>
  </si>
  <si>
    <t>Production data set sorts successfully</t>
  </si>
  <si>
    <t>Depends on DartSort developers delivering DartSort.</t>
  </si>
  <si>
    <t>Ephys pipeline manuscript</t>
  </si>
  <si>
    <t>In development</t>
  </si>
  <si>
    <t>Write and submit a manuscript describing the ephys pipeline.</t>
  </si>
  <si>
    <t>Preprint on biorxiv</t>
  </si>
  <si>
    <t>SpikeInterface GUI</t>
  </si>
  <si>
    <t>Fully integrate SpikeInterface GUI into QC portal</t>
  </si>
  <si>
    <t>Users are using SIGUI inside of QC portal</t>
  </si>
  <si>
    <t>Slap2</t>
  </si>
  <si>
    <t>@</t>
  </si>
  <si>
    <t>Almost finished</t>
  </si>
  <si>
    <t>Evaluate parameters and algorithms for motion correction and trace extraction.</t>
  </si>
  <si>
    <t>Implement SLAP2 processing pipeline</t>
  </si>
  <si>
    <t>Implement SLAP2 pipeline based on evaluated parameters.</t>
  </si>
  <si>
    <t>SmartSPIM</t>
  </si>
  <si>
    <t>Setup SmartSPIM Pipeline on Slurm Cluster for routine Processing</t>
  </si>
  <si>
    <t>This is underway</t>
  </si>
  <si>
    <t>Currently the pipeline is only deployed on CO. However, we need to be able to sometimes reprocess datasets and it would be valuable to be able to do that at a lower cost on the Slurm cluster. This work involves testing this functionality.</t>
  </si>
  <si>
    <t>Running 3-5 datasets through the slurm cluster and QC'ing results</t>
  </si>
  <si>
    <t>Scientists for QC, Slurm Cluster</t>
  </si>
  <si>
    <t xml:space="preserve">Slurm Cluster </t>
  </si>
  <si>
    <t>Molecular Anatomy Team, AIBS</t>
  </si>
  <si>
    <t>Upgrade SmartSPIM Pipeline to incorporate new spot detection and new classification model</t>
  </si>
  <si>
    <t>medium/large</t>
  </si>
  <si>
    <t>Currently blocked by our ability to run on the Slurm Cluster where we are testing the new detection model</t>
  </si>
  <si>
    <t>A new spot detection and classification model has been developed and needs to be QC'ed and deployed into the pipeline</t>
  </si>
  <si>
    <t>Running 5 datasets and QC'ing them with scientists</t>
  </si>
  <si>
    <t>Scientists for QC, CO</t>
  </si>
  <si>
    <t>CO</t>
  </si>
  <si>
    <t>Test External DataSet on Slurm Cluster</t>
  </si>
  <si>
    <t>small/medium</t>
  </si>
  <si>
    <t>Partially run</t>
  </si>
  <si>
    <t>UW submitted a brain to us and we need to run it through our pipeline to show it's impact for external labs (and our paper)</t>
  </si>
  <si>
    <t>An automated run of the UW dataset with results that are QC'ed by the UW group</t>
  </si>
  <si>
    <t>QC from UW, slurm cluster, updates needed for adapting to differences in the data</t>
  </si>
  <si>
    <t>Slurm Cluster</t>
  </si>
  <si>
    <t>UW, Scientific Computing</t>
  </si>
  <si>
    <t>ExaSPIM</t>
  </si>
  <si>
    <t>Set up automated pipeline for uploads, flatfielding and alignment</t>
  </si>
  <si>
    <t xml:space="preserve">Small </t>
  </si>
  <si>
    <t xml:space="preserve">Pieces are complete and need to be connected and tested </t>
  </si>
  <si>
    <t xml:space="preserve">The current pipeline does not automatically trigger all of these steps and required human communication. This will be automated. </t>
  </si>
  <si>
    <t xml:space="preserve">3-5 datasets running through the pipeline in an automated manner and generating an alignment result. </t>
  </si>
  <si>
    <t>Code Ocean Failures, aind-transfer-service</t>
  </si>
  <si>
    <t>Slurm Cluster, CO</t>
  </si>
  <si>
    <t>Molecular Anatomy Team</t>
  </si>
  <si>
    <t>Setup pipeline for CCF Registration, Soma detection and quantification</t>
  </si>
  <si>
    <t>Each piece is complete but lots of inconsistency in data outputs</t>
  </si>
  <si>
    <t>The different capsules have been setup for various processing, but we need to do some infrastructure work to connect them and ensure seamless outputs</t>
  </si>
  <si>
    <t>3-5 datasets running through the pipeline in an automated manner</t>
  </si>
  <si>
    <t>This will be setup as two pipelines since we are still debugging the latest bigstitcher for fusing the signal channel. Upgrades to capsules can delay this</t>
  </si>
  <si>
    <t>EMR Cluster, CO</t>
  </si>
  <si>
    <t>Develop metrics for comparing across alignment results</t>
  </si>
  <si>
    <t>p0</t>
  </si>
  <si>
    <t xml:space="preserve">Currently we are unable to compare registration of the same interest points when the alignment changes since bigstitcher only outputs collated summary statistics. We will with with the Octo (Rhapso Team) to develop metrics that will enable this. </t>
  </si>
  <si>
    <t xml:space="preserve">Code that will output a value for every interest point 
Code that allows a user to select to interest points and transformations to compute metrics </t>
  </si>
  <si>
    <t>Changes to bigstitcher outputs and performance can delay this, A QC loop with scientists is also needed</t>
  </si>
  <si>
    <t>None</t>
  </si>
  <si>
    <t>Image compression</t>
  </si>
  <si>
    <t>Ongoing</t>
  </si>
  <si>
    <t>Currently we compress with standard zstd libraries. However, we can optimize more for our data. This work is an exploration of the different methods for compression.</t>
  </si>
  <si>
    <t>Identifying an alternative compression method that we can deploy into our pipeline or reasons why the current one is the best.</t>
  </si>
  <si>
    <t>CO, S3 storate</t>
  </si>
  <si>
    <t>Molecular Anatomy Team,</t>
  </si>
  <si>
    <t>Z1</t>
  </si>
  <si>
    <t>Setup Automated Pipeline For uploads, radial correction, stitching</t>
  </si>
  <si>
    <t>Implementation of uploads is complete</t>
  </si>
  <si>
    <t>This work involves setting up of a common pipeline for processing all datasets up to stitching that are acquired on the Z1: Multitile and Single Tile HCR and Proteomics Data</t>
  </si>
  <si>
    <t>An automated pipeline that includes: uploads, radial correction, camera correction and stitching, where each step has been verified by scientists.</t>
  </si>
  <si>
    <t>CO upgrades, aind-data-transfer-service, QC from scientists</t>
  </si>
  <si>
    <t xml:space="preserve">Proteomics (TIm Wang), Learning Mfish (Marina Garrett), Mol Anatomy (Kevin Cao) </t>
  </si>
  <si>
    <t>Determine an optimal method for computing R2R registration</t>
  </si>
  <si>
    <t>Tests with Bigstitcher are promising</t>
  </si>
  <si>
    <t>R2R registration with bigstream has proved to be too expensive to deploy for routine data processing. An alternative method needs to be developed.</t>
  </si>
  <si>
    <t>A R2R registration method that can register two rounds within $200 of compute costs</t>
  </si>
  <si>
    <t>Bigstitcher, Bigstream</t>
  </si>
  <si>
    <t>Tim Wang, Learning MFISH team, Molecular Anatomy team</t>
  </si>
  <si>
    <t>Test Proteomics Datasets on pipeline</t>
  </si>
  <si>
    <t>The pipeline will be extensively tested on proteomics datasets that are acquired on the Z1</t>
  </si>
  <si>
    <t>Proteomics datasets are able to run in an automated manner up to stitching</t>
  </si>
  <si>
    <t>Changes in data collection properties, CO upgrades, aind-transfer-service</t>
  </si>
  <si>
    <t>Proteomics (TIm Wang)</t>
  </si>
  <si>
    <t>Develop AI tools for Proteomics Data Analysis</t>
  </si>
  <si>
    <t>Since acquiring channels is expensive and sometimes challenging due to tissue processing constraints, predicting channels from other channels can greatly boost the abil ability for integrated analysis. In this first step, we will develop an AI based encoder to help develop prediction tools</t>
  </si>
  <si>
    <t>A preliminary model that can  encode proteomics data</t>
  </si>
  <si>
    <t>OCTO (Geoff), Access to a GPU Cluster for training</t>
  </si>
  <si>
    <t>GPU Cluster</t>
  </si>
  <si>
    <t>Behavior Videos</t>
  </si>
  <si>
    <t>Release pipeline for video processing with Lightning Pose</t>
  </si>
  <si>
    <t>Pretty close to completion</t>
  </si>
  <si>
    <t xml:space="preserve">Currently the pipeline exists but needs autotriggering and cleanup before release. </t>
  </si>
  <si>
    <t>Successful deployment and release of pipeline 
Testing from at least 3 different projects -&gt; auto triggering up to inference, QC done by scientists.</t>
  </si>
  <si>
    <t>Some datasets having different metadata and edge cases could add time for getting this finalized</t>
  </si>
  <si>
    <t>Jonathan Wong, Sharmishtaa Seshamani, Consumers of Behavior Video Pipeline</t>
  </si>
  <si>
    <t>Develop markerless tracking pipeline</t>
  </si>
  <si>
    <t>Multimodal foundation models developed recently can enable us to track animals without the need for annotion. Preliminary tests on behavior videos have shown promising results. A pipeline for testing this on various cases needs to be developed to decide it's applicability for our experimetns</t>
  </si>
  <si>
    <t>An automated pipeline that takes in a video and text input to indicate body parts of interest and outputs tracks on them.</t>
  </si>
  <si>
    <t>Models could be expensive to run, may not generalize well, may need to fine tune them.</t>
  </si>
  <si>
    <t>Jonathan Wong, Sharmishtaa Seshamani</t>
  </si>
  <si>
    <t xml:space="preserve">Applying 3D Ground Truth Tracking to Multiple Datasets </t>
  </si>
  <si>
    <t>Method development is complete. Next steps are scaling to large datasets</t>
  </si>
  <si>
    <t>A 3d markerless tracking method based on cotracker is being developed by BSA. A training dataset for this needs to be developed. This work involves using gaussian splatting methods for generating this.</t>
  </si>
  <si>
    <t>A code base for generating 3D tracks for whole video sequences. Examples on 1-2 datasets.</t>
  </si>
  <si>
    <t>Compute costs for full datasets need to be watched.</t>
  </si>
  <si>
    <t>Jonathan Wong, Lili Karashuk, Katie Rupp, Sharmishtaa Seshamani</t>
  </si>
  <si>
    <t xml:space="preserve">Generating a Master Dataset for Behavior Video Analysis </t>
  </si>
  <si>
    <t>Started</t>
  </si>
  <si>
    <t xml:space="preserve">In order to take pose estimation and analysis to the next level we can take advantage of the variety of video data that has been collected at AIND. However, these have all been collected with different conditions and need to be collated to be shared as a collective dataset. This effort which has been started here: will continue to collate datasets. </t>
  </si>
  <si>
    <t>An initial dataset shared on aind-benchmark-data</t>
  </si>
  <si>
    <t>All behavior scientists</t>
  </si>
  <si>
    <t>Data Infrastructure</t>
  </si>
  <si>
    <t>SciComp Quarterly Planning Data Infrastructure.docx</t>
  </si>
  <si>
    <t xml:space="preserve">PowerApps and Dataverse Dependent Services (P0, M) </t>
  </si>
  <si>
    <t xml:space="preserve">Not much work has been started in building out the necessary infrastructure. </t>
  </si>
  <si>
    <t xml:space="preserve">A decision has been made to move forward with replacing SLIMS with PowerApps and Dataverse. This will require a couple of additional services to be built to allow PowerApps to communicate with LabTracks and a REST API to be set up to allow users to input and fetch data programmatically. </t>
  </si>
  <si>
    <t xml:space="preserve">• PowerApps can pull data from LabTracks successfully  
• A user can input and fetch waterlog data using a Python API </t>
  </si>
  <si>
    <t xml:space="preserve">We will need Central IT's help in setting up a Remote API Gateway onsite that will allow PowerApps to pull data from aind-metadata-service. Brain Science has built something similar, so we may be able to leverage their expertise. 
Since we are new to PowerApps, there may be a slight learning curve in setting up a REST API. </t>
  </si>
  <si>
    <t xml:space="preserve">Dan Birman 
Saskia de Vries 
Arielle Leon </t>
  </si>
  <si>
    <t xml:space="preserve">aind-metadata-mapper for aind-data-schema v2.0 Upgrades (P0, M) </t>
  </si>
  <si>
    <t xml:space="preserve">Hasn't been started yet </t>
  </si>
  <si>
    <t xml:space="preserve">The aind-metadata-mapper repo will need to be overhauled to output aind-data-schema v2.0 compliant metadata. </t>
  </si>
  <si>
    <t xml:space="preserve">All of the currently working packages that build metadata files will need to build aind-data-schema v2.0 compliant metadata (as best as possible). 
FIP module makes use of intended measurement endpoint </t>
  </si>
  <si>
    <t xml:space="preserve">The caveat in the Success Criteria is that we should first upgrade the metadata mappers in their current state. There may be some invalid metadata being produced because of missing information, etc. 
We may need other teams contributing to this project also. </t>
  </si>
  <si>
    <t xml:space="preserve">aind-metadata-service v1.0 Rollout (P0, M) </t>
  </si>
  <si>
    <t xml:space="preserve">About 75% finished. </t>
  </si>
  <si>
    <t xml:space="preserve">aind-metadata-service is still in v0. We are overhauling the architecture to make it more robust and more performant. </t>
  </si>
  <si>
    <t xml:space="preserve">V1.0 is deployed to production. </t>
  </si>
  <si>
    <t xml:space="preserve">We may need to coordinate this with upgrading aind-metadata-service to output aind-data-schema v2.0 files. </t>
  </si>
  <si>
    <t>No additional</t>
  </si>
  <si>
    <t xml:space="preserve">Consumers of aind-metadata-service data. </t>
  </si>
  <si>
    <t xml:space="preserve">aind-metadata-service for aind-data-schema 2.0 Upgrades (P0, M) </t>
  </si>
  <si>
    <t xml:space="preserve">Hasn't started </t>
  </si>
  <si>
    <t xml:space="preserve">The aind-metadata-service repo will need to be overhauled to output aind-data-schema v2.0 compliant metadata. </t>
  </si>
  <si>
    <t xml:space="preserve">Users can request v2.0 compliant procedures and subject metadata from our backends. </t>
  </si>
  <si>
    <t xml:space="preserve">We may need to coordinate this with the aind-metadata-service v1.0 rollout. </t>
  </si>
  <si>
    <t xml:space="preserve">Dan Birman 
Saskia de Vries 
Doug Ollerenshaw 
Consumers of aind-metadata-service data </t>
  </si>
  <si>
    <t xml:space="preserve">aind-data-transfer-lite (P0, S) </t>
  </si>
  <si>
    <t xml:space="preserve">Work has been completed for the core functionality. We are in the testing phase. </t>
  </si>
  <si>
    <t xml:space="preserve">External collaborators need an easy way to upload data to our AWS buckets </t>
  </si>
  <si>
    <t xml:space="preserve">Our collaborators at UPenn have uploaded data 
(P2, M) There is a GUI built. </t>
  </si>
  <si>
    <t xml:space="preserve">Saskia de Vries 
External Collaborators </t>
  </si>
  <si>
    <t xml:space="preserve">BKP Alignment (P1, L) </t>
  </si>
  <si>
    <t xml:space="preserve">Some initial conversations and planning has been started. </t>
  </si>
  <si>
    <t xml:space="preserve">AIND and AIBS would like to align as much as possible on how data is collected and catalogued. </t>
  </si>
  <si>
    <t xml:space="preserve">A decision is made on a common architecture. </t>
  </si>
  <si>
    <t>TBD</t>
  </si>
  <si>
    <t xml:space="preserve">David Feng 
AIBS </t>
  </si>
  <si>
    <t xml:space="preserve">AWS SSO (or IAMRA) (P0, M) </t>
  </si>
  <si>
    <t xml:space="preserve">Some exploration on the feasibility has been done. </t>
  </si>
  <si>
    <t xml:space="preserve">We are currently using long-term credentials for certain users. This is bad practice and we'd like to switch to authenticating users with a different method. Ideally, SSO would be used. However, we can look at other methods such as IAM Roles Anywhere. </t>
  </si>
  <si>
    <t xml:space="preserve">All of the long-term credentials handed out to users have been revoked. </t>
  </si>
  <si>
    <t xml:space="preserve">Matt in AIBS might be able to help out.	 </t>
  </si>
  <si>
    <t xml:space="preserve">Central IT 
AIBS 
Various AIND scientists and engineers that were given long-term access credentials. </t>
  </si>
  <si>
    <t xml:space="preserve">Observability Stack Deployment (P1, M) </t>
  </si>
  <si>
    <t xml:space="preserve">We'd like to start using the Grafana dashboards SIPE has set up to view the health of our on-prem services easily. </t>
  </si>
  <si>
    <t xml:space="preserve">There are dashboards on Grafana that display CPU %, heartbeats, and metrics on our endpoints for aind-metadata-service and aind-data-transfer-service. </t>
  </si>
  <si>
    <t xml:space="preserve">SIPE is migrating Grafana Cloud to an on-prem Grafana Server. We need to wait for that project to be completed. </t>
  </si>
  <si>
    <t>SIPE</t>
  </si>
  <si>
    <t xml:space="preserve">Auto-Deployments for Cloud and On-Prem Services (P1, M) </t>
  </si>
  <si>
    <t xml:space="preserve">40% Done. We are currently testing the auto-deployment of our terraform scripts. </t>
  </si>
  <si>
    <t xml:space="preserve">We are currently manually deploying updates to aind-metadata-service, aind-data-transfer-service, and terraform scripts manually. To mitigate the risks associated with manual updates, we'd like to have a github action build and deploy changes to those services. </t>
  </si>
  <si>
    <t xml:space="preserve">Our on-prem services update automatically on a github action 
Our terraform scripts are automatically deployed </t>
  </si>
  <si>
    <t xml:space="preserve">We may need Central IT's help to allow our github action runners to authenticate to Platform 9. </t>
  </si>
  <si>
    <t xml:space="preserve">Minimal. We may need self-hosted github action runners, but they won't require a lot of compute resources. </t>
  </si>
  <si>
    <t xml:space="preserve">SIPE (they may be doing something similar) 
Central IT </t>
  </si>
  <si>
    <t xml:space="preserve">Data Asset Summary API Endpoint (P0, S) </t>
  </si>
  <si>
    <t xml:space="preserve">Hasn't been started yet. </t>
  </si>
  <si>
    <t xml:space="preserve">We want to have an AI model generate a summary for each data asset in our DocumentDB through a REST API endpoint. </t>
  </si>
  <si>
    <t xml:space="preserve">There is an endpoint a user can receive an AI generated summary for a data asset (in production) </t>
  </si>
  <si>
    <t xml:space="preserve">We will need to coordinate with Saskia's team. This depends on the code that generates the summary to be tested and deployed. </t>
  </si>
  <si>
    <t xml:space="preserve">Still TDB. Ideally, we'd like to set this up using AWS Lambda, but it depends on the timeout and memory required. </t>
  </si>
  <si>
    <t xml:space="preserve">Saskia de Vries 
Sreya Kumar 
Dan Birman </t>
  </si>
  <si>
    <t xml:space="preserve">MCP Server Deployment (P1, M) </t>
  </si>
  <si>
    <t xml:space="preserve">We want an MCP Server Deployed </t>
  </si>
  <si>
    <t xml:space="preserve">An MCP Server is deployed </t>
  </si>
  <si>
    <t xml:space="preserve">We still need to figure out how to do this. </t>
  </si>
  <si>
    <t>David Feng</t>
  </si>
  <si>
    <t xml:space="preserve">Vector Embeddings Generation and Deployment (P1, M) </t>
  </si>
  <si>
    <t xml:space="preserve">There is a manual script that currently generates vector embeddings for metadata in DocDB. This allows the metadata chatbot to do vector search on assets in DocDB. Currently, Sreya is exploring different LLM models and embeddings generation processes as well. </t>
  </si>
  <si>
    <t xml:space="preserve">We want to automate the vector embeddings generation and update process so that assets are continually vectorized. The vector embeddings also need to be deployed in production once everything is tested. </t>
  </si>
  <si>
    <t xml:space="preserve">Automated process to generate and update vector embeddings (ideally Lambda function). Vector embeddings also stored in production (ideally alongside the metadata records). </t>
  </si>
  <si>
    <t xml:space="preserve">We have not explored using Lambda functions to generate embeddings. Currently the embeddings script runs for multiple hours. 
This also is dependent on the vectorization logic being finalized (e.g. LLM model, choosing which schemas to vectorize). </t>
  </si>
  <si>
    <t xml:space="preserve">David Feng 
Sreya Kumar 
Users of metadata chatbot </t>
  </si>
  <si>
    <t xml:space="preserve">Data Access API Support (P1, S) </t>
  </si>
  <si>
    <t xml:space="preserve">Placeholder to indicate that we need to address issues that crop up with our data access services. </t>
  </si>
  <si>
    <t xml:space="preserve">Issues are resolved quickly. </t>
  </si>
  <si>
    <t xml:space="preserve">We have some inkling of tech-debt items that we need to address, but we won't know what future issues might be for the most part. </t>
  </si>
  <si>
    <t xml:space="preserve">Analysis Pipeline Support (P1, M) </t>
  </si>
  <si>
    <t>We are still doing things manually, but we want to write a terraform script to handle requests.</t>
  </si>
  <si>
    <t>A Terraform script to auto deploy new analysis pipeline infrastructure</t>
  </si>
  <si>
    <t xml:space="preserve">Chronic Ephys Data Collection Support (P0, M) </t>
  </si>
  <si>
    <t xml:space="preserve">Most of the infrastructure work needed has been finished. We are in the testing phase. </t>
  </si>
  <si>
    <t xml:space="preserve">There is a project to collect chronic ephys data from many weeks straight. This has required a restructuring of our data infrastructure. </t>
  </si>
  <si>
    <t xml:space="preserve">Chronic Ephys Data Collection is started. </t>
  </si>
  <si>
    <t xml:space="preserve">We plan to upload data in chunks, and each chunk shouldn't require much compute resources. </t>
  </si>
  <si>
    <t xml:space="preserve">Carl Schoonover </t>
  </si>
  <si>
    <t xml:space="preserve">Horta Cloud and Code Ocean Support (P0, M) </t>
  </si>
  <si>
    <t xml:space="preserve">Ongoing </t>
  </si>
  <si>
    <t xml:space="preserve">We will need to address issues with Horta Cloud and Code Ocean as they crop up. </t>
  </si>
  <si>
    <t xml:space="preserve">Users of Code Ocean and Horta Cloud </t>
  </si>
  <si>
    <t xml:space="preserve">aind-qc-portal Support (P1, M) </t>
  </si>
  <si>
    <t xml:space="preserve">The qc-portal is currently running, but there may be room for improving the performance and robustness. </t>
  </si>
  <si>
    <t xml:space="preserve">Members of the Data Infrastructure can start contributing to the aind-qc-portal codebase. </t>
  </si>
  <si>
    <t xml:space="preserve">Complete test coverage. 
Figured out reasons for crashes. </t>
  </si>
  <si>
    <t xml:space="preserve">Little to None. </t>
  </si>
  <si>
    <t xml:space="preserve">Saskia de Vries 
Dan Birman </t>
  </si>
  <si>
    <t xml:space="preserve">aind-data-transfer-service UI (P2, M) </t>
  </si>
  <si>
    <t xml:space="preserve">The data transfer service has a simple UI for users to submit or view jobs. Jobs can be submitted through REST API or attaching a csv or excel sheet. </t>
  </si>
  <si>
    <t xml:space="preserve">We would like to add UI features to make it easier for users to submit jobs through a form. We also want admins to be able to cancel existing jobs. </t>
  </si>
  <si>
    <t xml:space="preserve">Users can submit upload job requests using a form. 
Admins can cancel existing jobs. </t>
  </si>
  <si>
    <t xml:space="preserve">This is not a high priority feature since it is mostly quality-of-life changes. </t>
  </si>
  <si>
    <t xml:space="preserve">Users of data transfer service. </t>
  </si>
  <si>
    <t xml:space="preserve">Data Cleanup and Other Support Requests </t>
  </si>
  <si>
    <t xml:space="preserve">We need to set aside time for tasks such as moving data from the private bucket to the open bucket, cleaning up VAST, and other small support requests we get from Scientists. We can also include Scientific Computing Office Hours in this. </t>
  </si>
  <si>
    <t xml:space="preserve">Requests are addressed quickly and efficiently. </t>
  </si>
  <si>
    <t xml:space="preserve">	Some requests can be vague </t>
  </si>
  <si>
    <t xml:space="preserve">Minimal. </t>
  </si>
  <si>
    <t xml:space="preserve">Continuous Learning/Side Projects (P1, S) </t>
  </si>
  <si>
    <t xml:space="preserve">It is important to carve out time for continuous education and side projects. This may include earning AWS certificates, Cornerstone training, seminar attendance, workshops, python training, etc. </t>
  </si>
  <si>
    <t xml:space="preserve">Engineers have dedicated time for this. </t>
  </si>
  <si>
    <t>Other things seem to take precedence over this and only 5% of time is spent.</t>
  </si>
  <si>
    <t>Minimal</t>
  </si>
  <si>
    <t>OVERALL RESOURCING TOTALS</t>
  </si>
  <si>
    <t>Platform</t>
  </si>
  <si>
    <t>Team</t>
  </si>
  <si>
    <t xml:space="preserve">Milestone </t>
  </si>
  <si>
    <t>Current priority</t>
  </si>
  <si>
    <t>Ariel, Arjun, Ahad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</si>
</sst>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1"/>
      <name val="Aptos Narrow"/>
      <scheme val="minor"/>
    </font>
    <font>
      <b/>
      <sz val="11"/>
      <color theme="1"/>
      <name val="Aptos Narrow"/>
      <family val="2"/>
      <scheme val="minor"/>
    </font>
    <font>
      <b/>
      <sz val="11"/>
      <color theme="0"/>
      <name val="Aptos Narrow"/>
      <family val="2"/>
      <scheme val="minor"/>
    </font>
    <font>
      <b/>
      <sz val="11"/>
      <color theme="1"/>
      <name val="Aptos Narrow"/>
      <scheme val="minor"/>
    </font>
    <font>
      <i/>
      <sz val="11"/>
      <color theme="1"/>
      <name val="Aptos Narrow"/>
      <scheme val="minor"/>
    </font>
    <font>
      <u/>
      <sz val="11"/>
      <color theme="10"/>
      <name val="Aptos Narrow"/>
      <family val="2"/>
      <scheme val="minor"/>
    </font>
    <font>
      <sz val="11"/>
      <color theme="0"/>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1" tint="0.249977111117893"/>
        <bgColor indexed="64"/>
      </patternFill>
    </fill>
    <fill>
      <patternFill patternType="solid">
        <fgColor theme="9"/>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1"/>
        <bgColor indexed="64"/>
      </patternFill>
    </fill>
    <fill>
      <patternFill patternType="solid">
        <fgColor rgb="FFC00000"/>
        <bgColor indexed="64"/>
      </patternFill>
    </fill>
    <fill>
      <patternFill patternType="solid">
        <fgColor theme="0"/>
        <bgColor indexed="64"/>
      </patternFill>
    </fill>
  </fills>
  <borders count="8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indexed="64"/>
      </top>
      <bottom style="thin">
        <color rgb="FF000000"/>
      </bottom>
      <diagonal/>
    </border>
    <border>
      <left/>
      <right/>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medium">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medium">
        <color indexed="64"/>
      </bottom>
      <diagonal/>
    </border>
    <border>
      <left style="thin">
        <color rgb="FF000000"/>
      </left>
      <right style="thin">
        <color rgb="FF000000"/>
      </right>
      <top/>
      <bottom style="thin">
        <color indexed="64"/>
      </bottom>
      <diagonal/>
    </border>
    <border>
      <left style="thin">
        <color rgb="FF000000"/>
      </left>
      <right/>
      <top/>
      <bottom style="medium">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medium">
        <color indexed="64"/>
      </bottom>
      <diagonal/>
    </border>
    <border>
      <left style="thin">
        <color rgb="FF000000"/>
      </left>
      <right/>
      <top/>
      <bottom/>
      <diagonal/>
    </border>
    <border>
      <left style="medium">
        <color indexed="64"/>
      </left>
      <right style="thin">
        <color rgb="FF000000"/>
      </right>
      <top style="thin">
        <color rgb="FF000000"/>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rgb="FF000000"/>
      </right>
      <top style="medium">
        <color indexed="64"/>
      </top>
      <bottom style="thin">
        <color rgb="FF000000"/>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medium">
        <color indexed="64"/>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medium">
        <color indexed="64"/>
      </left>
      <right style="thin">
        <color rgb="FF000000"/>
      </right>
      <top style="thin">
        <color indexed="64"/>
      </top>
      <bottom style="thin">
        <color indexed="64"/>
      </bottom>
      <diagonal/>
    </border>
    <border>
      <left style="thin">
        <color rgb="FF000000"/>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rgb="FF000000"/>
      </right>
      <top/>
      <bottom style="thin">
        <color indexed="64"/>
      </bottom>
      <diagonal/>
    </border>
    <border>
      <left style="thin">
        <color rgb="FF000000"/>
      </left>
      <right/>
      <top/>
      <bottom style="thin">
        <color indexed="64"/>
      </bottom>
      <diagonal/>
    </border>
    <border>
      <left style="medium">
        <color indexed="64"/>
      </left>
      <right style="thin">
        <color rgb="FF000000"/>
      </right>
      <top/>
      <bottom style="thin">
        <color indexed="64"/>
      </bottom>
      <diagonal/>
    </border>
    <border>
      <left style="thin">
        <color rgb="FF000000"/>
      </left>
      <right style="medium">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bottom style="medium">
        <color rgb="FF000000"/>
      </bottom>
      <diagonal/>
    </border>
  </borders>
  <cellStyleXfs count="2">
    <xf numFmtId="0" fontId="0" fillId="0" borderId="0"/>
    <xf numFmtId="0" fontId="6" fillId="0" borderId="0" applyNumberFormat="0" applyFill="0" applyBorder="0" applyAlignment="0" applyProtection="0"/>
  </cellStyleXfs>
  <cellXfs count="185">
    <xf numFmtId="0" fontId="0" fillId="0" borderId="0" xfId="0"/>
    <xf numFmtId="0" fontId="0" fillId="0" borderId="0" xfId="0" applyAlignment="1">
      <alignment horizontal="center"/>
    </xf>
    <xf numFmtId="0" fontId="0" fillId="2" borderId="1" xfId="0" applyFill="1" applyBorder="1" applyAlignment="1">
      <alignment horizontal="center" vertical="center"/>
    </xf>
    <xf numFmtId="0" fontId="0" fillId="0" borderId="0" xfId="0" applyAlignment="1">
      <alignment horizontal="center" wrapText="1"/>
    </xf>
    <xf numFmtId="0" fontId="0" fillId="0" borderId="0" xfId="0" applyAlignment="1">
      <alignment horizontal="center" vertical="center"/>
    </xf>
    <xf numFmtId="0" fontId="0" fillId="2" borderId="7" xfId="0" applyFill="1" applyBorder="1" applyAlignment="1">
      <alignment horizontal="center" vertical="center"/>
    </xf>
    <xf numFmtId="0" fontId="5" fillId="7" borderId="2" xfId="0" applyFont="1" applyFill="1" applyBorder="1" applyAlignment="1">
      <alignment horizontal="center"/>
    </xf>
    <xf numFmtId="0" fontId="0" fillId="2" borderId="10" xfId="0" applyFill="1" applyBorder="1" applyAlignment="1">
      <alignment horizontal="center" vertical="center"/>
    </xf>
    <xf numFmtId="0" fontId="3" fillId="4" borderId="1"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2" borderId="4" xfId="0" applyFill="1" applyBorder="1" applyAlignment="1">
      <alignment horizontal="center" vertical="center"/>
    </xf>
    <xf numFmtId="0" fontId="0" fillId="2" borderId="4"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horizontal="left" vertical="center" wrapText="1"/>
    </xf>
    <xf numFmtId="0" fontId="0" fillId="2" borderId="18" xfId="0" applyFill="1" applyBorder="1" applyAlignment="1">
      <alignment horizontal="center" vertical="center"/>
    </xf>
    <xf numFmtId="0" fontId="0" fillId="2" borderId="2" xfId="0" applyFill="1" applyBorder="1" applyAlignment="1">
      <alignment horizontal="center" vertical="center" wrapText="1"/>
    </xf>
    <xf numFmtId="0" fontId="0" fillId="2" borderId="2" xfId="0" applyFill="1" applyBorder="1" applyAlignment="1">
      <alignment horizontal="center" vertical="center"/>
    </xf>
    <xf numFmtId="0" fontId="0" fillId="2" borderId="37" xfId="0" applyFill="1" applyBorder="1" applyAlignment="1">
      <alignment horizontal="center" vertical="center"/>
    </xf>
    <xf numFmtId="0" fontId="0" fillId="2" borderId="37" xfId="0" applyFill="1" applyBorder="1" applyAlignment="1">
      <alignment horizontal="left" vertical="center" wrapText="1"/>
    </xf>
    <xf numFmtId="0" fontId="0" fillId="0" borderId="0" xfId="0" applyAlignment="1">
      <alignment horizontal="center" textRotation="90"/>
    </xf>
    <xf numFmtId="0" fontId="0" fillId="2" borderId="35" xfId="0" applyFill="1" applyBorder="1" applyAlignment="1">
      <alignment horizontal="center" vertical="center" wrapText="1"/>
    </xf>
    <xf numFmtId="0" fontId="0" fillId="2" borderId="35" xfId="0" applyFill="1" applyBorder="1" applyAlignment="1">
      <alignment horizontal="left" vertical="center" wrapText="1"/>
    </xf>
    <xf numFmtId="0" fontId="5" fillId="7" borderId="37" xfId="0" applyFont="1" applyFill="1" applyBorder="1" applyAlignment="1">
      <alignment horizontal="center"/>
    </xf>
    <xf numFmtId="0" fontId="5" fillId="7" borderId="55" xfId="0" applyFont="1" applyFill="1" applyBorder="1" applyAlignment="1">
      <alignment horizontal="center"/>
    </xf>
    <xf numFmtId="0" fontId="5" fillId="7" borderId="29" xfId="0" applyFont="1" applyFill="1" applyBorder="1" applyAlignment="1">
      <alignment horizontal="center"/>
    </xf>
    <xf numFmtId="0" fontId="3" fillId="4" borderId="1" xfId="0" applyFont="1" applyFill="1" applyBorder="1" applyAlignment="1">
      <alignment horizontal="left"/>
    </xf>
    <xf numFmtId="0" fontId="0" fillId="2" borderId="10" xfId="0" applyFill="1" applyBorder="1" applyAlignment="1">
      <alignment horizontal="left" vertical="center"/>
    </xf>
    <xf numFmtId="0" fontId="0" fillId="2" borderId="34" xfId="0" applyFill="1" applyBorder="1" applyAlignment="1">
      <alignment horizontal="left" vertical="center"/>
    </xf>
    <xf numFmtId="0" fontId="0" fillId="2" borderId="1" xfId="0" applyFill="1" applyBorder="1" applyAlignment="1">
      <alignment horizontal="left" vertical="center"/>
    </xf>
    <xf numFmtId="0" fontId="0" fillId="2" borderId="7" xfId="0" applyFill="1" applyBorder="1" applyAlignment="1">
      <alignment horizontal="left" vertical="center"/>
    </xf>
    <xf numFmtId="0" fontId="0" fillId="0" borderId="0" xfId="0" applyAlignment="1">
      <alignment horizontal="left" vertical="center"/>
    </xf>
    <xf numFmtId="0" fontId="0" fillId="2" borderId="4" xfId="0" applyFill="1" applyBorder="1" applyAlignment="1">
      <alignment horizontal="left" vertical="center"/>
    </xf>
    <xf numFmtId="0" fontId="0" fillId="2" borderId="37" xfId="0" applyFill="1" applyBorder="1" applyAlignment="1">
      <alignment horizontal="left" vertical="center"/>
    </xf>
    <xf numFmtId="9" fontId="0" fillId="3" borderId="10" xfId="0" applyNumberFormat="1" applyFill="1" applyBorder="1" applyAlignment="1">
      <alignment horizontal="center" vertical="center"/>
    </xf>
    <xf numFmtId="9" fontId="0" fillId="3" borderId="35" xfId="0" applyNumberFormat="1" applyFill="1" applyBorder="1" applyAlignment="1">
      <alignment horizontal="center" vertical="center"/>
    </xf>
    <xf numFmtId="9" fontId="0" fillId="3" borderId="19" xfId="0" applyNumberFormat="1" applyFill="1" applyBorder="1" applyAlignment="1">
      <alignment horizontal="center" vertical="center"/>
    </xf>
    <xf numFmtId="9" fontId="0" fillId="3" borderId="11" xfId="0" applyNumberFormat="1" applyFill="1" applyBorder="1" applyAlignment="1">
      <alignment horizontal="center" vertical="center"/>
    </xf>
    <xf numFmtId="9" fontId="0" fillId="3" borderId="1" xfId="0" applyNumberFormat="1" applyFill="1" applyBorder="1" applyAlignment="1">
      <alignment horizontal="center" vertical="center"/>
    </xf>
    <xf numFmtId="9" fontId="0" fillId="3" borderId="4" xfId="0" applyNumberFormat="1" applyFill="1" applyBorder="1" applyAlignment="1">
      <alignment horizontal="center" vertical="center"/>
    </xf>
    <xf numFmtId="9" fontId="0" fillId="3" borderId="20" xfId="0" applyNumberFormat="1" applyFill="1" applyBorder="1" applyAlignment="1">
      <alignment horizontal="center" vertical="center"/>
    </xf>
    <xf numFmtId="9" fontId="0" fillId="3" borderId="13" xfId="0" applyNumberFormat="1" applyFill="1" applyBorder="1" applyAlignment="1">
      <alignment horizontal="center" vertical="center"/>
    </xf>
    <xf numFmtId="9" fontId="0" fillId="3" borderId="2" xfId="0" applyNumberFormat="1" applyFill="1" applyBorder="1" applyAlignment="1">
      <alignment horizontal="center" vertical="center"/>
    </xf>
    <xf numFmtId="9" fontId="2" fillId="3" borderId="31" xfId="0" applyNumberFormat="1" applyFont="1" applyFill="1" applyBorder="1" applyAlignment="1">
      <alignment horizontal="center" vertical="center"/>
    </xf>
    <xf numFmtId="9" fontId="2" fillId="3" borderId="43" xfId="0" applyNumberFormat="1" applyFont="1" applyFill="1" applyBorder="1" applyAlignment="1">
      <alignment horizontal="center" vertical="center"/>
    </xf>
    <xf numFmtId="9" fontId="2" fillId="3" borderId="30" xfId="0" applyNumberFormat="1" applyFont="1" applyFill="1" applyBorder="1" applyAlignment="1">
      <alignment horizontal="center" vertical="center"/>
    </xf>
    <xf numFmtId="9" fontId="2" fillId="3" borderId="32" xfId="0" applyNumberFormat="1" applyFont="1" applyFill="1" applyBorder="1" applyAlignment="1">
      <alignment horizontal="center" vertical="center"/>
    </xf>
    <xf numFmtId="9" fontId="2" fillId="3" borderId="46" xfId="0" applyNumberFormat="1" applyFont="1" applyFill="1" applyBorder="1" applyAlignment="1">
      <alignment horizontal="center" vertical="center"/>
    </xf>
    <xf numFmtId="0" fontId="0" fillId="2" borderId="34" xfId="0" applyFill="1" applyBorder="1" applyAlignment="1">
      <alignment horizontal="center" vertical="center" wrapText="1"/>
    </xf>
    <xf numFmtId="0" fontId="0" fillId="2" borderId="22" xfId="0" applyFill="1" applyBorder="1" applyAlignment="1">
      <alignment horizontal="left" vertical="center" wrapText="1"/>
    </xf>
    <xf numFmtId="0" fontId="0" fillId="2" borderId="7" xfId="0" applyFill="1" applyBorder="1" applyAlignment="1">
      <alignment horizontal="left" vertical="center" wrapText="1"/>
    </xf>
    <xf numFmtId="0" fontId="0" fillId="2" borderId="7" xfId="0" applyFill="1" applyBorder="1" applyAlignment="1">
      <alignment horizontal="center" vertical="center" wrapText="1"/>
    </xf>
    <xf numFmtId="0" fontId="0" fillId="2" borderId="31" xfId="0" applyFill="1" applyBorder="1" applyAlignment="1">
      <alignment horizontal="left" vertical="center" wrapText="1"/>
    </xf>
    <xf numFmtId="9" fontId="2" fillId="3" borderId="27" xfId="0" applyNumberFormat="1" applyFont="1" applyFill="1" applyBorder="1" applyAlignment="1">
      <alignment horizontal="center" vertical="center"/>
    </xf>
    <xf numFmtId="9" fontId="2" fillId="3" borderId="57" xfId="0" applyNumberFormat="1" applyFont="1" applyFill="1" applyBorder="1" applyAlignment="1">
      <alignment horizontal="center" vertical="center"/>
    </xf>
    <xf numFmtId="9" fontId="2" fillId="3" borderId="26" xfId="0" applyNumberFormat="1" applyFont="1" applyFill="1" applyBorder="1" applyAlignment="1">
      <alignment horizontal="center" vertical="center"/>
    </xf>
    <xf numFmtId="9" fontId="2" fillId="3" borderId="28" xfId="0" applyNumberFormat="1" applyFont="1" applyFill="1" applyBorder="1" applyAlignment="1">
      <alignment horizontal="center" vertical="center"/>
    </xf>
    <xf numFmtId="9" fontId="2" fillId="3" borderId="47" xfId="0" applyNumberFormat="1"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0" fillId="2" borderId="22" xfId="0" applyFill="1" applyBorder="1" applyAlignment="1">
      <alignment horizontal="center" vertical="center" wrapText="1"/>
    </xf>
    <xf numFmtId="9" fontId="0" fillId="3" borderId="22" xfId="0" applyNumberFormat="1" applyFill="1" applyBorder="1" applyAlignment="1">
      <alignment horizontal="center" vertical="center"/>
    </xf>
    <xf numFmtId="9" fontId="0" fillId="3" borderId="41" xfId="0" applyNumberFormat="1" applyFill="1" applyBorder="1" applyAlignment="1">
      <alignment horizontal="center" vertical="center"/>
    </xf>
    <xf numFmtId="9" fontId="0" fillId="3" borderId="21" xfId="0" applyNumberFormat="1" applyFill="1" applyBorder="1" applyAlignment="1">
      <alignment horizontal="center" vertical="center"/>
    </xf>
    <xf numFmtId="9" fontId="0" fillId="3" borderId="23" xfId="0" applyNumberFormat="1" applyFill="1" applyBorder="1" applyAlignment="1">
      <alignment horizontal="center" vertical="center"/>
    </xf>
    <xf numFmtId="9" fontId="0" fillId="3" borderId="7" xfId="0" applyNumberFormat="1" applyFill="1" applyBorder="1" applyAlignment="1">
      <alignment horizontal="center" vertical="center"/>
    </xf>
    <xf numFmtId="9" fontId="0" fillId="3" borderId="42" xfId="0" applyNumberFormat="1" applyFill="1" applyBorder="1" applyAlignment="1">
      <alignment horizontal="center" vertical="center"/>
    </xf>
    <xf numFmtId="9" fontId="0" fillId="3" borderId="24" xfId="0" applyNumberFormat="1" applyFill="1" applyBorder="1" applyAlignment="1">
      <alignment horizontal="center" vertical="center"/>
    </xf>
    <xf numFmtId="9" fontId="0" fillId="3" borderId="25" xfId="0" applyNumberFormat="1" applyFill="1" applyBorder="1" applyAlignment="1">
      <alignment horizontal="center" vertical="center"/>
    </xf>
    <xf numFmtId="0" fontId="0" fillId="0" borderId="0" xfId="0" applyAlignment="1">
      <alignment horizontal="left"/>
    </xf>
    <xf numFmtId="9" fontId="0" fillId="3" borderId="58" xfId="0" applyNumberFormat="1" applyFill="1" applyBorder="1" applyAlignment="1">
      <alignment horizontal="center" vertical="center"/>
    </xf>
    <xf numFmtId="0" fontId="0" fillId="2" borderId="42" xfId="0" applyFill="1" applyBorder="1" applyAlignment="1">
      <alignment horizontal="center" vertical="center" wrapText="1"/>
    </xf>
    <xf numFmtId="9" fontId="2" fillId="3" borderId="61" xfId="0" applyNumberFormat="1" applyFont="1" applyFill="1" applyBorder="1" applyAlignment="1">
      <alignment horizontal="center" vertical="center"/>
    </xf>
    <xf numFmtId="9" fontId="2" fillId="3" borderId="53" xfId="0" applyNumberFormat="1" applyFont="1" applyFill="1" applyBorder="1" applyAlignment="1">
      <alignment horizontal="center" vertical="center"/>
    </xf>
    <xf numFmtId="9" fontId="2" fillId="3" borderId="62" xfId="0" applyNumberFormat="1" applyFont="1" applyFill="1" applyBorder="1" applyAlignment="1">
      <alignment horizontal="center" vertical="center"/>
    </xf>
    <xf numFmtId="9" fontId="2" fillId="3" borderId="63" xfId="0" applyNumberFormat="1" applyFont="1" applyFill="1" applyBorder="1" applyAlignment="1">
      <alignment horizontal="center" vertical="center"/>
    </xf>
    <xf numFmtId="9" fontId="0" fillId="3" borderId="64" xfId="0" applyNumberFormat="1" applyFill="1" applyBorder="1" applyAlignment="1">
      <alignment horizontal="center" vertical="center"/>
    </xf>
    <xf numFmtId="9" fontId="0" fillId="3" borderId="44" xfId="0" applyNumberFormat="1" applyFill="1" applyBorder="1" applyAlignment="1">
      <alignment horizontal="center" vertical="center"/>
    </xf>
    <xf numFmtId="9" fontId="0" fillId="3" borderId="65" xfId="0" applyNumberFormat="1" applyFill="1" applyBorder="1" applyAlignment="1">
      <alignment horizontal="center" vertical="center"/>
    </xf>
    <xf numFmtId="9" fontId="0" fillId="3" borderId="66" xfId="0" applyNumberFormat="1" applyFill="1" applyBorder="1" applyAlignment="1">
      <alignment horizontal="center" vertical="center"/>
    </xf>
    <xf numFmtId="9" fontId="0" fillId="3" borderId="67" xfId="0" applyNumberFormat="1" applyFill="1" applyBorder="1" applyAlignment="1">
      <alignment horizontal="center" vertical="center"/>
    </xf>
    <xf numFmtId="9" fontId="0" fillId="3" borderId="68" xfId="0" applyNumberFormat="1" applyFill="1" applyBorder="1" applyAlignment="1">
      <alignment horizontal="center" vertical="center"/>
    </xf>
    <xf numFmtId="9" fontId="0" fillId="3" borderId="45" xfId="0" applyNumberFormat="1" applyFill="1" applyBorder="1" applyAlignment="1">
      <alignment horizontal="center" vertical="center"/>
    </xf>
    <xf numFmtId="9" fontId="0" fillId="3" borderId="69" xfId="0" applyNumberFormat="1" applyFill="1" applyBorder="1" applyAlignment="1">
      <alignment horizontal="center" vertical="center"/>
    </xf>
    <xf numFmtId="9" fontId="0" fillId="3" borderId="70" xfId="0" applyNumberFormat="1" applyFill="1" applyBorder="1" applyAlignment="1">
      <alignment horizontal="center" vertical="center"/>
    </xf>
    <xf numFmtId="9" fontId="0" fillId="3" borderId="71" xfId="0" applyNumberFormat="1" applyFill="1" applyBorder="1" applyAlignment="1">
      <alignment horizontal="center" vertical="center"/>
    </xf>
    <xf numFmtId="9" fontId="2" fillId="3" borderId="40" xfId="0" applyNumberFormat="1" applyFont="1" applyFill="1" applyBorder="1" applyAlignment="1">
      <alignment horizontal="center" vertical="center"/>
    </xf>
    <xf numFmtId="9" fontId="2" fillId="3" borderId="52" xfId="0" applyNumberFormat="1" applyFont="1" applyFill="1" applyBorder="1" applyAlignment="1">
      <alignment horizontal="center" vertical="center"/>
    </xf>
    <xf numFmtId="9" fontId="2" fillId="3" borderId="72" xfId="0" applyNumberFormat="1" applyFont="1" applyFill="1" applyBorder="1" applyAlignment="1">
      <alignment horizontal="center" vertical="center"/>
    </xf>
    <xf numFmtId="9" fontId="2" fillId="3" borderId="73" xfId="0" applyNumberFormat="1" applyFont="1" applyFill="1" applyBorder="1" applyAlignment="1">
      <alignment horizontal="center" vertical="center"/>
    </xf>
    <xf numFmtId="9" fontId="2" fillId="3" borderId="14" xfId="0" applyNumberFormat="1" applyFont="1" applyFill="1" applyBorder="1" applyAlignment="1">
      <alignment horizontal="center" vertical="center"/>
    </xf>
    <xf numFmtId="9" fontId="2" fillId="3" borderId="3" xfId="0" applyNumberFormat="1" applyFont="1" applyFill="1" applyBorder="1" applyAlignment="1">
      <alignment horizontal="center" vertical="center"/>
    </xf>
    <xf numFmtId="0" fontId="0" fillId="2" borderId="42" xfId="0" applyFill="1" applyBorder="1" applyAlignment="1">
      <alignment horizontal="center" vertical="center"/>
    </xf>
    <xf numFmtId="9" fontId="0" fillId="3" borderId="74" xfId="0" applyNumberFormat="1" applyFill="1" applyBorder="1" applyAlignment="1">
      <alignment horizontal="center" vertical="center"/>
    </xf>
    <xf numFmtId="9" fontId="0" fillId="3" borderId="48" xfId="0" applyNumberFormat="1" applyFill="1" applyBorder="1" applyAlignment="1">
      <alignment horizontal="center" vertical="center"/>
    </xf>
    <xf numFmtId="9" fontId="0" fillId="3" borderId="75" xfId="0" applyNumberFormat="1" applyFill="1" applyBorder="1" applyAlignment="1">
      <alignment horizontal="center" vertical="center"/>
    </xf>
    <xf numFmtId="9" fontId="0" fillId="3" borderId="76" xfId="0" applyNumberFormat="1" applyFill="1" applyBorder="1" applyAlignment="1">
      <alignment horizontal="center" vertical="center"/>
    </xf>
    <xf numFmtId="9" fontId="0" fillId="3" borderId="77" xfId="0" applyNumberFormat="1" applyFill="1" applyBorder="1" applyAlignment="1">
      <alignment horizontal="center" vertical="center"/>
    </xf>
    <xf numFmtId="0" fontId="0" fillId="2" borderId="37" xfId="0" applyFill="1" applyBorder="1" applyAlignment="1">
      <alignment horizontal="center" vertical="center" wrapText="1"/>
    </xf>
    <xf numFmtId="0" fontId="0" fillId="2" borderId="51" xfId="0" applyFill="1" applyBorder="1" applyAlignment="1">
      <alignment horizontal="left" vertical="center" wrapText="1"/>
    </xf>
    <xf numFmtId="0" fontId="0" fillId="2" borderId="56" xfId="0" applyFill="1" applyBorder="1" applyAlignment="1">
      <alignment horizontal="center" vertical="center"/>
    </xf>
    <xf numFmtId="0" fontId="0" fillId="2" borderId="31" xfId="0" applyFill="1" applyBorder="1" applyAlignment="1">
      <alignment horizontal="center" vertical="center" wrapText="1"/>
    </xf>
    <xf numFmtId="9" fontId="0" fillId="3" borderId="5" xfId="0" applyNumberFormat="1" applyFill="1" applyBorder="1" applyAlignment="1">
      <alignment horizontal="center" vertical="center"/>
    </xf>
    <xf numFmtId="9" fontId="2" fillId="3" borderId="59" xfId="0" applyNumberFormat="1" applyFont="1" applyFill="1" applyBorder="1" applyAlignment="1">
      <alignment horizontal="center" vertical="center"/>
    </xf>
    <xf numFmtId="9" fontId="0" fillId="3" borderId="78" xfId="0" applyNumberFormat="1" applyFill="1" applyBorder="1" applyAlignment="1">
      <alignment horizontal="center" vertical="center"/>
    </xf>
    <xf numFmtId="9" fontId="0" fillId="3" borderId="79" xfId="0" applyNumberFormat="1" applyFill="1" applyBorder="1" applyAlignment="1">
      <alignment horizontal="center" vertical="center"/>
    </xf>
    <xf numFmtId="9" fontId="0" fillId="3" borderId="80" xfId="0" applyNumberFormat="1" applyFill="1" applyBorder="1" applyAlignment="1">
      <alignment horizontal="center" vertical="center"/>
    </xf>
    <xf numFmtId="9" fontId="0" fillId="3" borderId="81" xfId="0" applyNumberFormat="1" applyFill="1" applyBorder="1" applyAlignment="1">
      <alignment horizontal="center" vertical="center"/>
    </xf>
    <xf numFmtId="9" fontId="0" fillId="3" borderId="82" xfId="0" applyNumberFormat="1" applyFill="1" applyBorder="1" applyAlignment="1">
      <alignment horizontal="center" vertical="center"/>
    </xf>
    <xf numFmtId="9" fontId="2" fillId="3" borderId="83" xfId="0" applyNumberFormat="1" applyFont="1" applyFill="1" applyBorder="1" applyAlignment="1">
      <alignment horizontal="center" vertical="center"/>
    </xf>
    <xf numFmtId="9" fontId="2" fillId="3" borderId="84" xfId="0" applyNumberFormat="1" applyFont="1" applyFill="1" applyBorder="1" applyAlignment="1">
      <alignment horizontal="center" vertical="center"/>
    </xf>
    <xf numFmtId="9" fontId="2" fillId="3" borderId="85" xfId="0" applyNumberFormat="1" applyFont="1" applyFill="1" applyBorder="1" applyAlignment="1">
      <alignment horizontal="center" vertical="center"/>
    </xf>
    <xf numFmtId="9" fontId="2" fillId="10" borderId="27" xfId="0" applyNumberFormat="1" applyFont="1" applyFill="1" applyBorder="1" applyAlignment="1">
      <alignment horizontal="center" vertical="center"/>
    </xf>
    <xf numFmtId="0" fontId="1" fillId="2" borderId="22" xfId="0" applyFont="1" applyFill="1" applyBorder="1" applyAlignment="1">
      <alignment horizontal="center" vertical="center" wrapText="1"/>
    </xf>
    <xf numFmtId="0" fontId="1" fillId="2" borderId="22" xfId="0" applyFont="1" applyFill="1" applyBorder="1" applyAlignment="1">
      <alignment horizontal="left" vertical="center" wrapText="1"/>
    </xf>
    <xf numFmtId="0" fontId="1"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 fillId="2" borderId="31" xfId="0" applyFont="1" applyFill="1" applyBorder="1" applyAlignment="1">
      <alignment horizontal="left" vertical="center" wrapText="1"/>
    </xf>
    <xf numFmtId="0" fontId="1" fillId="2" borderId="31" xfId="0" applyFont="1" applyFill="1" applyBorder="1" applyAlignment="1">
      <alignment horizontal="center" vertical="center" wrapText="1"/>
    </xf>
    <xf numFmtId="0" fontId="6" fillId="2" borderId="22" xfId="1" applyFill="1" applyBorder="1" applyAlignment="1">
      <alignment horizontal="center" vertical="center"/>
    </xf>
    <xf numFmtId="0" fontId="6" fillId="2" borderId="7" xfId="1" applyFill="1" applyBorder="1" applyAlignment="1">
      <alignment horizontal="center" vertical="center"/>
    </xf>
    <xf numFmtId="0" fontId="6" fillId="2" borderId="31" xfId="1" applyFill="1" applyBorder="1" applyAlignment="1">
      <alignment horizontal="center" vertical="center"/>
    </xf>
    <xf numFmtId="0" fontId="6" fillId="2" borderId="27" xfId="1" applyFill="1" applyBorder="1" applyAlignment="1">
      <alignment horizontal="center" vertical="center"/>
    </xf>
    <xf numFmtId="0" fontId="2" fillId="2" borderId="21" xfId="0" applyFont="1" applyFill="1" applyBorder="1" applyAlignment="1">
      <alignment horizontal="center" vertical="center" textRotation="90"/>
    </xf>
    <xf numFmtId="0" fontId="2" fillId="2" borderId="24" xfId="0" applyFont="1" applyFill="1" applyBorder="1" applyAlignment="1">
      <alignment horizontal="center" vertical="center" textRotation="90"/>
    </xf>
    <xf numFmtId="0" fontId="2" fillId="2" borderId="30" xfId="0" applyFont="1" applyFill="1" applyBorder="1" applyAlignment="1">
      <alignment horizontal="center" vertical="center" textRotation="90"/>
    </xf>
    <xf numFmtId="0" fontId="2" fillId="2" borderId="26" xfId="0" applyFont="1" applyFill="1" applyBorder="1" applyAlignment="1">
      <alignment horizontal="center" vertical="center" textRotation="90"/>
    </xf>
    <xf numFmtId="0" fontId="0" fillId="2" borderId="22" xfId="0" applyFill="1" applyBorder="1" applyAlignment="1">
      <alignment horizontal="center" vertical="center"/>
    </xf>
    <xf numFmtId="0" fontId="0" fillId="2" borderId="7" xfId="0" applyFill="1" applyBorder="1" applyAlignment="1">
      <alignment horizontal="center" vertical="center"/>
    </xf>
    <xf numFmtId="0" fontId="0" fillId="2" borderId="31" xfId="0" applyFill="1" applyBorder="1" applyAlignment="1">
      <alignment horizontal="center" vertical="center"/>
    </xf>
    <xf numFmtId="0" fontId="0" fillId="2" borderId="27" xfId="0" applyFill="1" applyBorder="1" applyAlignment="1">
      <alignment horizontal="center" vertical="center"/>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0" fillId="2" borderId="9" xfId="0" applyFill="1" applyBorder="1" applyAlignment="1">
      <alignment horizontal="center" vertical="center"/>
    </xf>
    <xf numFmtId="0" fontId="0" fillId="2" borderId="3" xfId="0" applyFill="1" applyBorder="1" applyAlignment="1">
      <alignment horizontal="center" vertical="center"/>
    </xf>
    <xf numFmtId="0" fontId="3" fillId="4" borderId="1" xfId="0" applyFont="1" applyFill="1" applyBorder="1" applyAlignment="1">
      <alignment horizontal="center"/>
    </xf>
    <xf numFmtId="0" fontId="4" fillId="5" borderId="1" xfId="0" applyFont="1" applyFill="1" applyBorder="1" applyAlignment="1">
      <alignment horizontal="center"/>
    </xf>
    <xf numFmtId="0" fontId="4" fillId="5" borderId="2" xfId="0" applyFont="1" applyFill="1" applyBorder="1" applyAlignment="1">
      <alignment horizontal="center"/>
    </xf>
    <xf numFmtId="0" fontId="4" fillId="2" borderId="8" xfId="0" applyFont="1" applyFill="1" applyBorder="1" applyAlignment="1">
      <alignment horizontal="center" vertical="center" textRotation="90"/>
    </xf>
    <xf numFmtId="0" fontId="4" fillId="2" borderId="12" xfId="0" applyFont="1" applyFill="1" applyBorder="1" applyAlignment="1">
      <alignment horizontal="center" vertical="center" textRotation="90"/>
    </xf>
    <xf numFmtId="0" fontId="4" fillId="2" borderId="19" xfId="0" applyFont="1" applyFill="1" applyBorder="1" applyAlignment="1">
      <alignment horizontal="center" vertical="center" textRotation="90"/>
    </xf>
    <xf numFmtId="0" fontId="4" fillId="2" borderId="33" xfId="0" applyFont="1" applyFill="1" applyBorder="1" applyAlignment="1">
      <alignment horizontal="center" vertical="center" textRotation="90"/>
    </xf>
    <xf numFmtId="0" fontId="4" fillId="2" borderId="20" xfId="0" applyFont="1" applyFill="1" applyBorder="1" applyAlignment="1">
      <alignment horizontal="center" vertical="center" textRotation="90"/>
    </xf>
    <xf numFmtId="0" fontId="4" fillId="2" borderId="55" xfId="0" applyFont="1" applyFill="1" applyBorder="1" applyAlignment="1">
      <alignment horizontal="center" vertical="center" textRotation="90"/>
    </xf>
    <xf numFmtId="0" fontId="4" fillId="7" borderId="19" xfId="0" applyFont="1" applyFill="1" applyBorder="1" applyAlignment="1">
      <alignment horizontal="center"/>
    </xf>
    <xf numFmtId="0" fontId="4" fillId="7" borderId="10" xfId="0" applyFont="1" applyFill="1" applyBorder="1" applyAlignment="1">
      <alignment horizontal="center"/>
    </xf>
    <xf numFmtId="0" fontId="4" fillId="7" borderId="11" xfId="0" applyFont="1" applyFill="1" applyBorder="1" applyAlignment="1">
      <alignment horizontal="center"/>
    </xf>
    <xf numFmtId="0" fontId="4" fillId="7" borderId="35" xfId="0" applyFont="1" applyFill="1" applyBorder="1" applyAlignment="1">
      <alignment horizontal="center"/>
    </xf>
    <xf numFmtId="0" fontId="1" fillId="7" borderId="10" xfId="0" applyFont="1" applyFill="1" applyBorder="1" applyAlignment="1">
      <alignment horizontal="center"/>
    </xf>
    <xf numFmtId="0" fontId="1" fillId="7" borderId="35" xfId="0" applyFont="1" applyFill="1" applyBorder="1" applyAlignment="1">
      <alignment horizontal="center"/>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3" fillId="6" borderId="2" xfId="0" applyFont="1" applyFill="1" applyBorder="1" applyAlignment="1">
      <alignment horizontal="center" vertical="center"/>
    </xf>
    <xf numFmtId="0" fontId="6" fillId="2" borderId="9" xfId="1" applyFill="1" applyBorder="1" applyAlignment="1">
      <alignment horizontal="center" vertical="center"/>
    </xf>
    <xf numFmtId="0" fontId="6" fillId="2" borderId="3" xfId="1" applyFill="1" applyBorder="1" applyAlignment="1">
      <alignment horizontal="center" vertical="center"/>
    </xf>
    <xf numFmtId="0" fontId="6" fillId="2" borderId="54" xfId="1" applyFill="1" applyBorder="1" applyAlignment="1">
      <alignment horizontal="center" vertical="center"/>
    </xf>
    <xf numFmtId="0" fontId="1" fillId="7" borderId="4" xfId="0" applyFont="1" applyFill="1" applyBorder="1" applyAlignment="1">
      <alignment horizontal="center"/>
    </xf>
    <xf numFmtId="0" fontId="1" fillId="7" borderId="6" xfId="0" applyFont="1" applyFill="1" applyBorder="1" applyAlignment="1">
      <alignment horizontal="center"/>
    </xf>
    <xf numFmtId="0" fontId="3" fillId="8" borderId="15" xfId="0" applyFont="1" applyFill="1" applyBorder="1" applyAlignment="1">
      <alignment horizontal="right" vertical="center" wrapText="1"/>
    </xf>
    <xf numFmtId="0" fontId="3" fillId="8" borderId="16" xfId="0" applyFont="1" applyFill="1" applyBorder="1" applyAlignment="1">
      <alignment horizontal="right" vertical="center" wrapText="1"/>
    </xf>
    <xf numFmtId="0" fontId="3" fillId="8" borderId="17" xfId="0" applyFont="1" applyFill="1" applyBorder="1" applyAlignment="1">
      <alignment horizontal="right" vertical="center" wrapText="1"/>
    </xf>
    <xf numFmtId="0" fontId="6" fillId="2" borderId="22" xfId="1" applyFill="1" applyBorder="1" applyAlignment="1">
      <alignment horizontal="center" vertical="center" textRotation="90"/>
    </xf>
    <xf numFmtId="0" fontId="6" fillId="2" borderId="7" xfId="1" applyFill="1" applyBorder="1" applyAlignment="1">
      <alignment horizontal="center" vertical="center" textRotation="90"/>
    </xf>
    <xf numFmtId="0" fontId="6" fillId="2" borderId="27" xfId="1" applyFill="1" applyBorder="1" applyAlignment="1">
      <alignment horizontal="center" vertical="center" textRotation="90"/>
    </xf>
    <xf numFmtId="0" fontId="2" fillId="2" borderId="31" xfId="0" applyFont="1" applyFill="1" applyBorder="1" applyAlignment="1">
      <alignment horizontal="center" vertical="center" textRotation="90"/>
    </xf>
    <xf numFmtId="0" fontId="2" fillId="2" borderId="40" xfId="0" applyFont="1" applyFill="1" applyBorder="1" applyAlignment="1">
      <alignment horizontal="center" vertical="center" textRotation="90"/>
    </xf>
    <xf numFmtId="0" fontId="0" fillId="2" borderId="40" xfId="0" applyFill="1" applyBorder="1" applyAlignment="1">
      <alignment horizontal="center" vertical="center"/>
    </xf>
    <xf numFmtId="0" fontId="2" fillId="2" borderId="18" xfId="0" applyFont="1" applyFill="1" applyBorder="1" applyAlignment="1">
      <alignment horizontal="center" vertical="center" textRotation="90"/>
    </xf>
    <xf numFmtId="0" fontId="0" fillId="2" borderId="18" xfId="0" applyFill="1" applyBorder="1" applyAlignment="1">
      <alignment horizontal="center" vertical="center"/>
    </xf>
    <xf numFmtId="0" fontId="6" fillId="2" borderId="31" xfId="1" applyFill="1" applyBorder="1" applyAlignment="1">
      <alignment horizontal="center" vertical="center" textRotation="90"/>
    </xf>
    <xf numFmtId="0" fontId="0" fillId="2" borderId="40" xfId="0" applyFill="1" applyBorder="1" applyAlignment="1">
      <alignment horizontal="center" vertical="center" textRotation="90"/>
    </xf>
    <xf numFmtId="0" fontId="0" fillId="2" borderId="18" xfId="0" applyFill="1" applyBorder="1" applyAlignment="1">
      <alignment horizontal="center" vertical="center" textRotation="90"/>
    </xf>
    <xf numFmtId="0" fontId="3" fillId="9" borderId="41" xfId="0" applyFont="1" applyFill="1" applyBorder="1" applyAlignment="1">
      <alignment horizontal="right" vertical="center"/>
    </xf>
    <xf numFmtId="0" fontId="3" fillId="9" borderId="50" xfId="0" applyFont="1" applyFill="1" applyBorder="1" applyAlignment="1">
      <alignment horizontal="right" vertical="center"/>
    </xf>
    <xf numFmtId="0" fontId="3" fillId="9" borderId="60" xfId="0" applyFont="1" applyFill="1" applyBorder="1" applyAlignment="1">
      <alignment horizontal="right" vertical="center"/>
    </xf>
    <xf numFmtId="0" fontId="2" fillId="0" borderId="0" xfId="0" applyFont="1" applyAlignment="1">
      <alignment horizontal="left" vertical="center"/>
    </xf>
    <xf numFmtId="0" fontId="3" fillId="8" borderId="38" xfId="0" applyFont="1" applyFill="1" applyBorder="1" applyAlignment="1">
      <alignment horizontal="right" vertical="center" wrapText="1"/>
    </xf>
    <xf numFmtId="0" fontId="3" fillId="8" borderId="39" xfId="0" applyFont="1" applyFill="1" applyBorder="1" applyAlignment="1">
      <alignment horizontal="right" vertical="center" wrapText="1"/>
    </xf>
    <xf numFmtId="0" fontId="3" fillId="8" borderId="37" xfId="0" applyFont="1" applyFill="1" applyBorder="1" applyAlignment="1">
      <alignment horizontal="right" vertical="center" wrapText="1"/>
    </xf>
    <xf numFmtId="0" fontId="0" fillId="2" borderId="52" xfId="0" applyFill="1" applyBorder="1" applyAlignment="1">
      <alignment horizontal="center" vertical="center"/>
    </xf>
    <xf numFmtId="0" fontId="3" fillId="8" borderId="49" xfId="0" applyFont="1" applyFill="1" applyBorder="1" applyAlignment="1">
      <alignment horizontal="right" vertical="center" wrapText="1"/>
    </xf>
    <xf numFmtId="0" fontId="3" fillId="8" borderId="36" xfId="0" applyFont="1" applyFill="1" applyBorder="1" applyAlignment="1">
      <alignment horizontal="right" vertical="center" wrapText="1"/>
    </xf>
  </cellXfs>
  <cellStyles count="2">
    <cellStyle name="Hyperlink" xfId="1" builtinId="8"/>
    <cellStyle name="Normal" xfId="0" builtinId="0"/>
  </cellStyles>
  <dxfs count="11">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ocumenttasks/documenttask1.xml><?xml version="1.0" encoding="utf-8"?>
<Tasks xmlns="http://schemas.microsoft.com/office/tasks/2019/documenttasks">
  <Task id="{DDB4F087-4D60-4711-A780-77580EDC48D5}">
    <Anchor>
      <Comment id="{B30D721E-504C-471F-9824-A5FE73278585}"/>
    </Anchor>
    <History>
      <Event time="2025-07-15T19:05:51.27" id="{AD5720AD-EA37-432C-B834-808EE651ABED}">
        <Attribution userId="S::doug.ollerenshaw@alleninstitute.org::ea32b06d-ffe5-49f2-9c63-ccc17bedad76" userName="Doug Ollerenshaw" userProvider="AD"/>
        <Anchor>
          <Comment id="{59D69AC2-A0BB-44DD-B9BD-9271E6CC4314}"/>
        </Anchor>
        <Create/>
      </Event>
      <Event time="2025-07-15T19:05:51.27" id="{85B645C1-8F96-4F46-8650-DBDFFF14BFF8}">
        <Attribution userId="S::doug.ollerenshaw@alleninstitute.org::ea32b06d-ffe5-49f2-9c63-ccc17bedad76" userName="Doug Ollerenshaw" userProvider="AD"/>
        <Anchor>
          <Comment id="{59D69AC2-A0BB-44DD-B9BD-9271E6CC4314}"/>
        </Anchor>
        <Assign userId="S::david.feng@alleninstitute.org::23a0df74-05ea-435f-bd7f-24f16e464195" userName="David Feng" userProvider="AD"/>
      </Event>
      <Event time="2025-07-15T19:05:51.27" id="{9D16E525-72FE-47DD-B5D9-468994418AE2}">
        <Attribution userId="S::doug.ollerenshaw@alleninstitute.org::ea32b06d-ffe5-49f2-9c63-ccc17bedad76" userName="Doug Ollerenshaw" userProvider="AD"/>
        <Anchor>
          <Comment id="{59D69AC2-A0BB-44DD-B9BD-9271E6CC4314}"/>
        </Anchor>
        <SetTitle title="@David Feng , could you answer here?"/>
      </Event>
    </History>
  </Task>
  <Task id="{A3DF0992-38B3-4AB5-ABD3-95E8C395808A}">
    <Anchor>
      <Comment id="{D54C3EF2-16DD-47B4-A9C7-4E80352651EB}"/>
    </Anchor>
    <History>
      <Event time="2025-07-14T21:15:27.07" id="{FD47583F-3400-4DB0-BE61-5DA2365216F3}">
        <Attribution userId="S::david.feng@alleninstitute.org::23a0df74-05ea-435f-bd7f-24f16e464195" userName="David Feng" userProvider="AD"/>
        <Anchor>
          <Comment id="{D54C3EF2-16DD-47B4-A9C7-4E80352651EB}"/>
        </Anchor>
        <Create/>
      </Event>
      <Event time="2025-07-14T21:15:27.07" id="{061F48D2-389D-4E82-BEED-3FD8163D4861}">
        <Attribution userId="S::david.feng@alleninstitute.org::23a0df74-05ea-435f-bd7f-24f16e464195" userName="David Feng" userProvider="AD"/>
        <Anchor>
          <Comment id="{D54C3EF2-16DD-47B4-A9C7-4E80352651EB}"/>
        </Anchor>
        <Assign userId="S::sharmishtaas@alleninstitute.org::33b5feda-593a-42d7-bd1a-dfbac9b7fd1b" userName="Sharmishtaa Seshamani" userProvider="AD"/>
      </Event>
      <Event time="2025-07-14T21:15:27.07" id="{93A5BF18-D2DE-4799-8F81-7F7A3EDF9608}">
        <Attribution userId="S::david.feng@alleninstitute.org::23a0df74-05ea-435f-bd7f-24f16e464195" userName="David Feng" userProvider="AD"/>
        <Anchor>
          <Comment id="{D54C3EF2-16DD-47B4-A9C7-4E80352651EB}"/>
        </Anchor>
        <SetTitle title="@Sharmishtaa Seshamani add 3D tracking pipeline support"/>
      </Event>
    </History>
  </Task>
  <Task id="{B5B47BC3-3531-4A83-8B2E-19DA94B10808}">
    <Anchor>
      <Comment id="{1CFA385F-C305-4285-AB7F-1CDEBBC87B09}"/>
    </Anchor>
    <History>
      <Event time="2025-07-14T21:05:28.39" id="{36686A3F-4E13-4296-985A-979A485C0EE9}">
        <Attribution userId="S::david.feng@alleninstitute.org::23a0df74-05ea-435f-bd7f-24f16e464195" userName="David Feng" userProvider="AD"/>
        <Anchor>
          <Comment id="{1CFA385F-C305-4285-AB7F-1CDEBBC87B09}"/>
        </Anchor>
        <Create/>
      </Event>
      <Event time="2025-07-14T21:05:28.39" id="{118CA0A6-3B0A-439C-BABE-DC8724277BC5}">
        <Attribution userId="S::david.feng@alleninstitute.org::23a0df74-05ea-435f-bd7f-24f16e464195" userName="David Feng" userProvider="AD"/>
        <Anchor>
          <Comment id="{1CFA385F-C305-4285-AB7F-1CDEBBC87B09}"/>
        </Anchor>
        <Assign userId="S::sharmishtaas@alleninstitute.org::33b5feda-593a-42d7-bd1a-dfbac9b7fd1b" userName="Sharmishtaa Seshamani" userProvider="AD"/>
      </Event>
      <Event time="2025-07-14T21:05:28.39" id="{1DF3F9AD-ADB7-437A-BC2E-B44B199296F9}">
        <Attribution userId="S::david.feng@alleninstitute.org::23a0df74-05ea-435f-bd7f-24f16e464195" userName="David Feng" userProvider="AD"/>
        <Anchor>
          <Comment id="{1CFA385F-C305-4285-AB7F-1CDEBBC87B09}"/>
        </Anchor>
        <SetTitle title="@Sharmishtaa Seshamani add a row for new smartspim template with spinal cord"/>
      </Event>
    </History>
  </Task>
  <Task id="{9F4F7CD6-E313-4135-B288-70CEC91060F4}">
    <Anchor>
      <Comment id="{DF0E8507-0CB5-4DFF-B4C2-9F00C1751032}"/>
    </Anchor>
    <History>
      <Event time="2025-07-15T19:05:40.25" id="{905914C3-B97C-4C12-BE8B-EA5D8603D4CB}">
        <Attribution userId="S::doug.ollerenshaw@alleninstitute.org::ea32b06d-ffe5-49f2-9c63-ccc17bedad76" userName="Doug Ollerenshaw" userProvider="AD"/>
        <Anchor>
          <Comment id="{2F245D2E-EF4F-4292-957B-5560FEF7ECCF}"/>
        </Anchor>
        <Create/>
      </Event>
      <Event time="2025-07-15T19:05:40.25" id="{419742C4-30E0-42B4-8F4D-D353EAA8FF86}">
        <Attribution userId="S::doug.ollerenshaw@alleninstitute.org::ea32b06d-ffe5-49f2-9c63-ccc17bedad76" userName="Doug Ollerenshaw" userProvider="AD"/>
        <Anchor>
          <Comment id="{2F245D2E-EF4F-4292-957B-5560FEF7ECCF}"/>
        </Anchor>
        <Assign userId="S::david.feng@alleninstitute.org::23a0df74-05ea-435f-bd7f-24f16e464195" userName="David Feng" userProvider="AD"/>
      </Event>
      <Event time="2025-07-15T19:05:40.25" id="{0F8FB1D1-B2D3-4834-8006-303B6493DD7E}">
        <Attribution userId="S::doug.ollerenshaw@alleninstitute.org::ea32b06d-ffe5-49f2-9c63-ccc17bedad76" userName="Doug Ollerenshaw" userProvider="AD"/>
        <Anchor>
          <Comment id="{2F245D2E-EF4F-4292-957B-5560FEF7ECCF}"/>
        </Anchor>
        <SetTitle title="@David Feng , could you answer here?"/>
      </Event>
    </History>
  </Task>
  <Task id="{359F78D7-E023-44D1-89E8-0D6AFAF96FFD}">
    <Anchor>
      <Comment id="{72F5CB72-D5DF-41C3-AEE6-C4EDED7463CB}"/>
    </Anchor>
    <History>
      <Event time="2025-07-14T20:59:52.56" id="{02FB9E43-2A9F-48A5-A55C-85068BA11E62}">
        <Attribution userId="S::david.feng@alleninstitute.org::23a0df74-05ea-435f-bd7f-24f16e464195" userName="David Feng" userProvider="AD"/>
        <Anchor>
          <Comment id="{72F5CB72-D5DF-41C3-AEE6-C4EDED7463CB}"/>
        </Anchor>
        <Create/>
      </Event>
      <Event time="2025-07-14T20:59:52.56" id="{10F75A31-A607-45C0-B336-D52B08361954}">
        <Attribution userId="S::david.feng@alleninstitute.org::23a0df74-05ea-435f-bd7f-24f16e464195" userName="David Feng" userProvider="AD"/>
        <Anchor>
          <Comment id="{72F5CB72-D5DF-41C3-AEE6-C4EDED7463CB}"/>
        </Anchor>
        <Assign userId="S::ariellel@alleninstitute.org::b5d574af-077d-48d4-a6a5-232279015e6a" userName="Arielle Leon" userProvider="AD"/>
      </Event>
      <Event time="2025-07-14T20:59:52.56" id="{A5B5A0A4-D59E-4FE8-9FAC-8752538E0C90}">
        <Attribution userId="S::david.feng@alleninstitute.org::23a0df74-05ea-435f-bd7f-24f16e464195" userName="David Feng" userProvider="AD"/>
        <Anchor>
          <Comment id="{72F5CB72-D5DF-41C3-AEE6-C4EDED7463CB}"/>
        </Anchor>
        <SetTitle title="@Arielle Leon we should call out support for brucker rigs here"/>
      </Event>
    </History>
  </Task>
</Tasks>
</file>

<file path=xl/persons/person.xml><?xml version="1.0" encoding="utf-8"?>
<personList xmlns="http://schemas.microsoft.com/office/spreadsheetml/2018/threadedcomments" xmlns:x="http://schemas.openxmlformats.org/spreadsheetml/2006/main">
  <person displayName="Arielle Leon" id="{7985D568-76F7-4364-AC48-3EDBBD32000C}" userId="ariellel@alleninstitute.org" providerId="PeoplePicker"/>
  <person displayName="David Feng" id="{C7567DC1-168D-4DED-B559-C41ADE2A5E1A}" userId="david.feng@alleninstitute.org" providerId="PeoplePicker"/>
  <person displayName="Sharmishtaa Seshamani" id="{6691100F-1211-4472-BBFD-8F15FCB01E36}" userId="sharmishtaas@alleninstitute.org" providerId="PeoplePicker"/>
  <person displayName="Doug Ollerenshaw" id="{73E0A75B-BFBD-407B-9949-D02F6AAFD4E3}" userId="doug.ollerenshaw@alleninstitute.org" providerId="PeoplePicker"/>
  <person displayName="Saskia de Vries" id="{1795B81F-CB03-1549-8388-F34CB0F5E9A5}" userId="S::saskiad@alleninstitute.org::c87d0e55-2e6c-47aa-a13e-b95ccba1c08c" providerId="AD"/>
  <person displayName="Shelby Suckow" id="{DBAA4AD2-3790-497E-B276-4A5E62246D39}" userId="S::shelbys@alleninstitute.org::47ea1da1-f799-4925-9c47-2de721cc8297" providerId="AD"/>
  <person displayName="David Feng" id="{0FD808CC-2CC9-1E49-828E-D407A78FEDE6}" userId="S::david.feng@alleninstitute.org::23a0df74-05ea-435f-bd7f-24f16e464195" providerId="AD"/>
  <person displayName="Tamara Zeric" id="{1B706BF0-DF3A-4869-8422-6B848F28F25F}" userId="S::tamara.zeric@alleninstitute.org::97ea9647-3b41-430d-828c-5efde4a287c3" providerId="AD"/>
  <person displayName="Doug Ollerenshaw" id="{63CD00FE-D4C2-5044-BEFF-17E9C2665443}" userId="S::doug.ollerenshaw@alleninstitute.org::ea32b06d-ffe5-49f2-9c63-ccc17bedad7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 dT="2025-07-22T17:45:58.57" personId="{DBAA4AD2-3790-497E-B276-4A5E62246D39}" id="{AB73BDE4-4A3D-4377-B2BC-BD4E58747338}">
    <text xml:space="preserve">@Doug Ollerenshaw do you have a definition for these sizes? SIPE uses hours, would that apply? </text>
    <mentions>
      <mention mentionpersonId="{73E0A75B-BFBD-407B-9949-D02F6AAFD4E3}" mentionId="{0EF54249-2919-45F1-8F16-F1A8FA618A11}" startIndex="0" length="17"/>
    </mentions>
  </threadedComment>
  <threadedComment ref="F2" dT="2025-07-22T19:10:09.40" personId="{63CD00FE-D4C2-5044-BEFF-17E9C2665443}" id="{573565C4-D5FC-47D2-AE2C-FDC8C4B5C907}" parentId="{AB73BDE4-4A3D-4377-B2BC-BD4E58747338}">
    <text>Here's the legend for priority and size that David included in the original document for people to use when making these estimates:
P0 = critical, P1 = important, P2 = nice to have 
tiny = hours, small = days, medium = weeks, large = months 
I'm not sure everyone is calibrated quite the same, though. Anything labeled "Large" should likely be &gt; 4-5 weeks. Given that our rule of thumb was 1 week = 10%, that'd be at least 40-50% of an FTE for the quarter, which isn't always the case. 
Maybe these qualitative size labels should just be left off in the future and we can just estimate FTE time for each.</text>
  </threadedComment>
  <threadedComment ref="H14" dT="2025-07-08T20:23:56.84" personId="{0FD808CC-2CC9-1E49-828E-D407A78FEDE6}" id="{8626E870-CC68-49F6-B97B-F7FDC39C982C}">
    <text>I'm not sure there is a general purpose tool here. Perhaps a basic starter/template app that folks can build on for their own pipelines. Unless we are offering to help with a specific dashboard - i.e. DF or VRF.</text>
  </threadedComment>
  <threadedComment ref="H14" dT="2025-07-14T14:25:22.11" personId="{63CD00FE-D4C2-5044-BEFF-17E9C2665443}" id="{803EB60C-828D-4DE9-A329-589092A91E2E}" parentId="{8626E870-CC68-49F6-B97B-F7FDC39C982C}">
    <text>@Arielle Leon , should we adjust this goal?</text>
    <mentions>
      <mention mentionpersonId="{7985D568-76F7-4364-AC48-3EDBBD32000C}" mentionId="{579F5DC2-2F63-4BA7-95D1-4D5AC3187E99}" startIndex="0" length="13"/>
    </mentions>
  </threadedComment>
  <threadedComment ref="D34" dT="2025-07-14T20:59:52.61" personId="{0FD808CC-2CC9-1E49-828E-D407A78FEDE6}" id="{72F5CB72-D5DF-41C3-AEE6-C4EDED7463CB}">
    <text>@Arielle Leon we should call out support for brucker rigs here</text>
    <mentions>
      <mention mentionpersonId="{7985D568-76F7-4364-AC48-3EDBBD32000C}" mentionId="{4683DFD8-0968-4EBD-B8BA-B2BBC1C9EAD0}" startIndex="0" length="13"/>
    </mentions>
  </threadedComment>
  <threadedComment ref="D55" dT="2025-07-15T18:21:34.49" personId="{1B706BF0-DF3A-4869-8422-6B848F28F25F}" id="{DF0E8507-0CB5-4DFF-B4C2-9F00C1751032}">
    <text>Are these referencing the glutamate imaging pipeline? Or also for BCI?</text>
  </threadedComment>
  <threadedComment ref="D55" dT="2025-07-15T19:05:40.35" personId="{63CD00FE-D4C2-5044-BEFF-17E9C2665443}" id="{2F245D2E-EF4F-4292-957B-5560FEF7ECCF}" parentId="{DF0E8507-0CB5-4DFF-B4C2-9F00C1751032}">
    <text>@David Feng , could you answer here?</text>
    <mentions>
      <mention mentionpersonId="{C7567DC1-168D-4DED-B559-C41ADE2A5E1A}" mentionId="{CAEBB257-C809-4582-AF9C-8CD093E2A54B}" startIndex="0" length="11"/>
    </mentions>
  </threadedComment>
  <threadedComment ref="H56" dT="2025-07-15T18:22:10.04" personId="{1B706BF0-DF3A-4869-8422-6B848F28F25F}" id="{B30D721E-504C-471F-9824-A5FE73278585}">
    <text xml:space="preserve">Is this implementation in the cloud? </text>
  </threadedComment>
  <threadedComment ref="H56" dT="2025-07-15T19:05:51.35" personId="{63CD00FE-D4C2-5044-BEFF-17E9C2665443}" id="{59D69AC2-A0BB-44DD-B9BD-9271E6CC4314}" parentId="{B30D721E-504C-471F-9824-A5FE73278585}">
    <text>@David Feng , could you answer here?</text>
    <mentions>
      <mention mentionpersonId="{C7567DC1-168D-4DED-B559-C41ADE2A5E1A}" mentionId="{E24A3814-42BD-44F2-A9B7-496376BB9ECA}" startIndex="0" length="11"/>
    </mentions>
  </threadedComment>
  <threadedComment ref="A58" dT="2025-07-14T21:05:28.44" personId="{0FD808CC-2CC9-1E49-828E-D407A78FEDE6}" id="{1CFA385F-C305-4285-AB7F-1CDEBBC87B09}">
    <text>@Sharmishtaa Seshamani add a row for new smartspim template with spinal cord</text>
    <mentions>
      <mention mentionpersonId="{6691100F-1211-4472-BBFD-8F15FCB01E36}" mentionId="{3CE4FC7D-F013-4837-A3A0-CBD76C614003}" startIndex="0" length="22"/>
    </mentions>
  </threadedComment>
  <threadedComment ref="A72" dT="2025-07-14T21:15:27.14" personId="{0FD808CC-2CC9-1E49-828E-D407A78FEDE6}" id="{D54C3EF2-16DD-47B4-A9C7-4E80352651EB}">
    <text>@Sharmishtaa Seshamani  add 3D tracking pipeline support</text>
    <mentions>
      <mention mentionpersonId="{6691100F-1211-4472-BBFD-8F15FCB01E36}" mentionId="{DD788776-6926-4782-9DBC-690D00510AD3}" startIndex="0" length="22"/>
    </mentions>
  </threadedComment>
  <threadedComment ref="D78" dT="2025-07-01T18:55:42.96" personId="{1795B81F-CB03-1549-8388-F34CB0F5E9A5}" id="{B7F6EB1C-BAC3-0C4F-B104-997219223E8A}">
    <text>The D&amp;O time for this is in the v2 deployment metric. Let’s remove Doug and Dan’s time from this and point to that.</text>
  </threadedComment>
  <threadedComment ref="D78" dT="2025-07-01T20:41:14.76" personId="{63CD00FE-D4C2-5044-BEFF-17E9C2665443}" id="{5C9A928C-CFAA-402D-89AE-A3D033AC73ED}" parentId="{B7F6EB1C-BAC3-0C4F-B104-997219223E8A}">
    <text>I removed this time from the spreadsheet and also noted in the word doc that time is accounted in the D&amp;O goals doc.</text>
  </threadedComment>
  <threadedComment ref="AE88" dT="2025-07-01T18:56:40.49" personId="{1795B81F-CB03-1549-8388-F34CB0F5E9A5}" id="{823977C3-8DB2-E946-A891-E2AB30AB5BB8}">
    <text>This is a duplicate of Sreya’s time allocated in the D&amp;O goals (as this is part of those goals). Let’s not duplicate her time here.</text>
  </threadedComment>
  <threadedComment ref="AE88" dT="2025-07-01T19:07:07.67" personId="{63CD00FE-D4C2-5044-BEFF-17E9C2665443}" id="{967DBCA1-FBF8-E54D-AF4D-0379553289B7}" parentId="{823977C3-8DB2-E946-A891-E2AB30AB5BB8}">
    <text>Removed.</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alleninstitute-my.sharepoint.com/:w:/g/personal/sharmishtaas_alleninstitute_org/EX_GtyQ_WKROnx7ZBbvdDKkBSyR_HZiKPvqdbgwNOHGrGw?e=cYWRch" TargetMode="External"/><Relationship Id="rId13" Type="http://schemas.openxmlformats.org/officeDocument/2006/relationships/hyperlink" Target="../../../../../../:w:/r/sites/NeuralDynamics/_layouts/15/Doc.aspx?sourcedoc=%7BFD41AA94-69C5-45FE-A56E-12F11D0AEA76%7D&amp;file=25Q3%20Dataverse%20-%20Power%20Apps.docx&amp;action=default&amp;mobileredirect=true" TargetMode="External"/><Relationship Id="rId18" Type="http://schemas.openxmlformats.org/officeDocument/2006/relationships/hyperlink" Target="../../../../../../:w:/s/NeuralDynamics/EenhPA_GlJJMl0Mkx-PwaSwBgy3fR-a0HfpDJbb0VCmtxw?e=2uF8Sf" TargetMode="External"/><Relationship Id="rId26" Type="http://schemas.microsoft.com/office/2019/04/relationships/documenttask" Target="../documenttasks/documenttask1.xml"/><Relationship Id="rId3" Type="http://schemas.openxmlformats.org/officeDocument/2006/relationships/hyperlink" Target="../../../../../:w:/s/NeuralDynamics/EbxmFSTn17tNrJEN6Hfju0gBIN3L47IEzBM0TVW_HCQEBQ?e=H2edoE" TargetMode="External"/><Relationship Id="rId21" Type="http://schemas.openxmlformats.org/officeDocument/2006/relationships/hyperlink" Target="https://'s3/aind-private-data-prod-o5171v/single-plane-ophys_767715_2025-02-17_17-41-50'" TargetMode="External"/><Relationship Id="rId7" Type="http://schemas.openxmlformats.org/officeDocument/2006/relationships/hyperlink" Target="https://alleninstitute-my.sharepoint.com/:w:/g/personal/sharmishtaas_alleninstitute_org/EXM-KMPRJpJMptKmxx_I_qABF0Pge3O7IB_xTXf2NEHKcw?e=zccsCg" TargetMode="External"/><Relationship Id="rId12" Type="http://schemas.openxmlformats.org/officeDocument/2006/relationships/hyperlink" Target="../../../../../:w:/s/NeuralDynamics/EbxmFSTn17tNrJEN6Hfju0gBIN3L47IEzBM0TVW_HCQEBQ?e=H2edoE" TargetMode="External"/><Relationship Id="rId17" Type="http://schemas.openxmlformats.org/officeDocument/2006/relationships/hyperlink" Target="../../../../../../:w:/s/NeuralDynamics/EenhPA_GlJJMl0Mkx-PwaSwBgy3fR-a0HfpDJbb0VCmtxw?e=hAm9BU" TargetMode="External"/><Relationship Id="rId25" Type="http://schemas.microsoft.com/office/2017/10/relationships/threadedComment" Target="../threadedComments/threadedComment1.xml"/><Relationship Id="rId2" Type="http://schemas.openxmlformats.org/officeDocument/2006/relationships/hyperlink" Target="../../../../../:w:/s/NeuralDynamics/ERz7tYljoKtPhc37OafsLvUBRKnDu-KXwLoy9-c0ekZayg?e=Gjbc8v" TargetMode="External"/><Relationship Id="rId16" Type="http://schemas.openxmlformats.org/officeDocument/2006/relationships/hyperlink" Target="../../../../../../:w:/s/NeuralDynamics/EacnphouyLNPt6t_tyl4KPUBwa9rlktSyqIBIUSwIlz97A?e=83913t" TargetMode="External"/><Relationship Id="rId20" Type="http://schemas.openxmlformats.org/officeDocument/2006/relationships/hyperlink" Target="../../../../../../:w:/s/NeuralDynamics/ERz7tYljoKtPhc37OafsLvUBRKnDu-KXwLoy9-c0ekZayg?e=oQAue2" TargetMode="External"/><Relationship Id="rId1" Type="http://schemas.openxmlformats.org/officeDocument/2006/relationships/hyperlink" Target="../../../../../:w:/s/NeuralDynamics/EWuRJ7u0VwFPkQUbLm3TVi8Btpy3_zC55E6wiivB32H42Q?e=BYrMCQ" TargetMode="External"/><Relationship Id="rId6" Type="http://schemas.openxmlformats.org/officeDocument/2006/relationships/hyperlink" Target="https://alleninstitute-my.sharepoint.com/:w:/g/personal/sharmishtaas_alleninstitute_org/EeMoDmmcsBJIvToMf4YuU2wBaocFn_KftNdVnVOFrQgKPA?e=MUcmpo" TargetMode="External"/><Relationship Id="rId11" Type="http://schemas.openxmlformats.org/officeDocument/2006/relationships/hyperlink" Target="https://alleninstitute-my.sharepoint.com/:w:/g/personal/saskiad_alleninstitute_org/EXQ_3qvr8DRFkfbnNK0f1sYBvSmAvbfVk-GbftKAzfTOWg?e=NA87IR" TargetMode="External"/><Relationship Id="rId24" Type="http://schemas.openxmlformats.org/officeDocument/2006/relationships/comments" Target="../comments1.xml"/><Relationship Id="rId5" Type="http://schemas.openxmlformats.org/officeDocument/2006/relationships/hyperlink" Target="https://alleninstitute-my.sharepoint.com/:w:/g/personal/sharmishtaas_alleninstitute_org/EXM-KMPRJpJMptKmxx_I_qABF0Pge3O7IB_xTXf2NEHKcw?e=zccsCg" TargetMode="External"/><Relationship Id="rId15" Type="http://schemas.openxmlformats.org/officeDocument/2006/relationships/hyperlink" Target="../../../../../../:w:/s/NeuralDynamics/EXmYOGl8D9VBieuFK_jKPekBs0OxTHMejYk16XDSS2nZfQ?e=bpiZYT" TargetMode="External"/><Relationship Id="rId23" Type="http://schemas.openxmlformats.org/officeDocument/2006/relationships/vmlDrawing" Target="../drawings/vmlDrawing1.vml"/><Relationship Id="rId10" Type="http://schemas.openxmlformats.org/officeDocument/2006/relationships/hyperlink" Target="https://alleninstitute-my.sharepoint.com/:w:/g/personal/sharmishtaas_alleninstitute_org/EeMoDmmcsBJIvToMf4YuU2wBaocFn_KftNdVnVOFrQgKPA?e=MUcmpo" TargetMode="External"/><Relationship Id="rId19" Type="http://schemas.openxmlformats.org/officeDocument/2006/relationships/hyperlink" Target="../../../../../../:w:/r/sites/NeuralDynamics/_layouts/15/Doc.aspx?sourcedoc=%7B241566BC-D7E7-4DBB-AC91-0DE877E3BB48%7D&amp;file=25Q3%20Fiber%20Goals.docx&amp;action=default&amp;mobileredirect=true" TargetMode="External"/><Relationship Id="rId4" Type="http://schemas.openxmlformats.org/officeDocument/2006/relationships/hyperlink" Target="../../../../../:w:/s/NeuralDynamics/EfXmz3XmipZGgtaNUiLULDUBRrMsfDeon8pN5F59yQquhg?e=NyqS85" TargetMode="External"/><Relationship Id="rId9" Type="http://schemas.openxmlformats.org/officeDocument/2006/relationships/hyperlink" Target="https://alleninstitute-my.sharepoint.com/:w:/g/personal/sharmishtaas_alleninstitute_org/EX_GtyQ_WKROnx7ZBbvdDKkBSyR_HZiKPvqdbgwNOHGrGw?e=cYWRch" TargetMode="External"/><Relationship Id="rId14" Type="http://schemas.openxmlformats.org/officeDocument/2006/relationships/hyperlink" Target="../../../../../../:w:/s/NeuralDynamics/EQS_AuKDGKZIrceGxNhSllsBHv-TMVBfcjWhCYauBGCLWw?e=5Eq8P6"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98"/>
  <sheetViews>
    <sheetView showGridLines="0" tabSelected="1" zoomScale="86" zoomScaleNormal="86" workbookViewId="0">
      <pane ySplit="3" topLeftCell="A4" activePane="bottomLeft" state="frozen"/>
      <selection pane="bottomLeft" activeCell="C4" sqref="C4:C10"/>
    </sheetView>
  </sheetViews>
  <sheetFormatPr defaultColWidth="8.85546875" defaultRowHeight="14.45"/>
  <cols>
    <col min="1" max="1" width="8.5703125" style="21" customWidth="1"/>
    <col min="2" max="2" width="9.7109375" style="1" customWidth="1"/>
    <col min="3" max="3" width="10.140625" style="1" customWidth="1"/>
    <col min="4" max="4" width="20.85546875" style="3" customWidth="1"/>
    <col min="5" max="5" width="7.7109375" style="4" customWidth="1"/>
    <col min="6" max="6" width="15" style="4" customWidth="1"/>
    <col min="7" max="7" width="19.42578125" style="4" customWidth="1"/>
    <col min="8" max="8" width="43.85546875" style="32" customWidth="1"/>
    <col min="9" max="9" width="15.85546875" style="32" bestFit="1" customWidth="1"/>
    <col min="10" max="10" width="19.85546875" style="32" bestFit="1" customWidth="1"/>
    <col min="11" max="11" width="15.5703125" style="4" bestFit="1" customWidth="1"/>
    <col min="12" max="12" width="12.85546875" style="4" bestFit="1" customWidth="1"/>
    <col min="13" max="13" width="7.28515625" style="1" customWidth="1"/>
    <col min="14" max="15" width="9.140625" style="1" customWidth="1"/>
    <col min="16" max="16" width="7.85546875" style="1" customWidth="1"/>
    <col min="17" max="17" width="7.7109375" style="1" customWidth="1"/>
    <col min="18" max="18" width="7.42578125" style="1" customWidth="1"/>
    <col min="19" max="19" width="6.42578125" style="1" customWidth="1"/>
    <col min="20" max="20" width="7.42578125" style="1" customWidth="1"/>
    <col min="21" max="21" width="6.42578125" style="1" customWidth="1"/>
    <col min="22" max="22" width="6.140625" style="1" customWidth="1"/>
    <col min="23" max="23" width="6.85546875" style="1" customWidth="1"/>
    <col min="24" max="24" width="7.42578125" style="1" customWidth="1"/>
    <col min="25" max="25" width="6.7109375" style="1" customWidth="1"/>
    <col min="26" max="26" width="7.140625" style="1" customWidth="1"/>
    <col min="27" max="27" width="6.28515625" style="1" customWidth="1"/>
    <col min="28" max="28" width="7.7109375" style="1" customWidth="1"/>
    <col min="29" max="29" width="7.140625" style="1" customWidth="1"/>
    <col min="30" max="30" width="7" style="1" customWidth="1"/>
    <col min="31" max="31" width="7.42578125" style="1" customWidth="1"/>
    <col min="32" max="32" width="7.28515625" style="1" customWidth="1"/>
    <col min="33" max="33" width="8.85546875" style="1"/>
    <col min="34" max="34" width="6.42578125" style="1" customWidth="1"/>
    <col min="35" max="35" width="6.7109375" style="1" customWidth="1"/>
    <col min="36" max="36" width="7.85546875" style="1" customWidth="1"/>
    <col min="37" max="37" width="6.85546875" style="1" customWidth="1"/>
    <col min="38" max="38" width="7.42578125" style="1" customWidth="1"/>
    <col min="39" max="39" width="118.42578125" style="70" customWidth="1"/>
    <col min="40" max="40" width="70.85546875" style="1" customWidth="1"/>
    <col min="41" max="16384" width="8.85546875" style="1"/>
  </cols>
  <sheetData>
    <row r="1" spans="1:39" ht="15" thickBot="1">
      <c r="A1" s="136" t="s">
        <v>0</v>
      </c>
      <c r="B1" s="136"/>
      <c r="C1" s="136"/>
      <c r="D1" s="136"/>
      <c r="E1" s="136"/>
      <c r="F1" s="136"/>
      <c r="G1" s="8"/>
      <c r="H1" s="27"/>
      <c r="I1" s="27"/>
      <c r="J1" s="27"/>
      <c r="K1" s="8"/>
      <c r="L1" s="8"/>
      <c r="M1" s="137" t="s">
        <v>1</v>
      </c>
      <c r="N1" s="137"/>
      <c r="O1" s="137"/>
      <c r="P1" s="138"/>
      <c r="Q1" s="138"/>
      <c r="R1" s="138"/>
      <c r="S1" s="138"/>
      <c r="T1" s="138"/>
      <c r="U1" s="138"/>
      <c r="V1" s="138"/>
      <c r="W1" s="138"/>
      <c r="X1" s="138"/>
      <c r="Y1" s="138"/>
      <c r="Z1" s="138"/>
      <c r="AA1" s="138"/>
      <c r="AB1" s="138"/>
      <c r="AC1" s="138"/>
      <c r="AD1" s="138"/>
      <c r="AE1" s="138"/>
      <c r="AF1" s="138"/>
      <c r="AG1" s="138"/>
      <c r="AH1" s="138"/>
      <c r="AI1" s="138"/>
      <c r="AJ1" s="138"/>
      <c r="AK1" s="138"/>
      <c r="AL1" s="138"/>
      <c r="AM1" s="178" t="s">
        <v>2</v>
      </c>
    </row>
    <row r="2" spans="1:39">
      <c r="A2" s="151" t="s">
        <v>3</v>
      </c>
      <c r="B2" s="132" t="s">
        <v>4</v>
      </c>
      <c r="C2" s="132" t="s">
        <v>5</v>
      </c>
      <c r="D2" s="153" t="s">
        <v>6</v>
      </c>
      <c r="E2" s="154" t="s">
        <v>7</v>
      </c>
      <c r="F2" s="154" t="s">
        <v>8</v>
      </c>
      <c r="G2" s="154" t="s">
        <v>9</v>
      </c>
      <c r="H2" s="154" t="s">
        <v>10</v>
      </c>
      <c r="I2" s="154" t="s">
        <v>11</v>
      </c>
      <c r="J2" s="154" t="s">
        <v>12</v>
      </c>
      <c r="K2" s="154" t="s">
        <v>13</v>
      </c>
      <c r="L2" s="154" t="s">
        <v>14</v>
      </c>
      <c r="M2" s="159"/>
      <c r="N2" s="160"/>
      <c r="O2" s="160"/>
      <c r="P2" s="145" t="s">
        <v>15</v>
      </c>
      <c r="Q2" s="146"/>
      <c r="R2" s="146"/>
      <c r="S2" s="146"/>
      <c r="T2" s="147"/>
      <c r="U2" s="145" t="s">
        <v>16</v>
      </c>
      <c r="V2" s="146"/>
      <c r="W2" s="146"/>
      <c r="X2" s="146"/>
      <c r="Y2" s="148"/>
      <c r="Z2" s="145" t="s">
        <v>17</v>
      </c>
      <c r="AA2" s="149"/>
      <c r="AB2" s="149"/>
      <c r="AC2" s="149"/>
      <c r="AD2" s="149"/>
      <c r="AE2" s="150"/>
      <c r="AF2" s="145" t="s">
        <v>18</v>
      </c>
      <c r="AG2" s="146"/>
      <c r="AH2" s="146"/>
      <c r="AI2" s="146"/>
      <c r="AJ2" s="146"/>
      <c r="AK2" s="146"/>
      <c r="AL2" s="147"/>
      <c r="AM2" s="178"/>
    </row>
    <row r="3" spans="1:39" ht="15" thickBot="1">
      <c r="A3" s="152"/>
      <c r="B3" s="133"/>
      <c r="C3" s="133"/>
      <c r="D3" s="132"/>
      <c r="E3" s="155"/>
      <c r="F3" s="155"/>
      <c r="G3" s="155"/>
      <c r="H3" s="155"/>
      <c r="I3" s="155"/>
      <c r="J3" s="155"/>
      <c r="K3" s="155"/>
      <c r="L3" s="155"/>
      <c r="M3" s="6" t="s">
        <v>19</v>
      </c>
      <c r="N3" s="6" t="s">
        <v>20</v>
      </c>
      <c r="O3" s="24" t="s">
        <v>21</v>
      </c>
      <c r="P3" s="25" t="s">
        <v>22</v>
      </c>
      <c r="Q3" s="6" t="s">
        <v>23</v>
      </c>
      <c r="R3" s="6" t="s">
        <v>24</v>
      </c>
      <c r="S3" s="6" t="s">
        <v>25</v>
      </c>
      <c r="T3" s="26" t="s">
        <v>26</v>
      </c>
      <c r="U3" s="25" t="s">
        <v>27</v>
      </c>
      <c r="V3" s="6" t="s">
        <v>28</v>
      </c>
      <c r="W3" s="6" t="s">
        <v>29</v>
      </c>
      <c r="X3" s="6" t="s">
        <v>30</v>
      </c>
      <c r="Y3" s="24" t="s">
        <v>31</v>
      </c>
      <c r="Z3" s="25" t="s">
        <v>32</v>
      </c>
      <c r="AA3" s="6" t="s">
        <v>33</v>
      </c>
      <c r="AB3" s="6" t="s">
        <v>34</v>
      </c>
      <c r="AC3" s="6" t="s">
        <v>35</v>
      </c>
      <c r="AD3" s="6" t="s">
        <v>36</v>
      </c>
      <c r="AE3" s="24" t="s">
        <v>37</v>
      </c>
      <c r="AF3" s="25" t="s">
        <v>38</v>
      </c>
      <c r="AG3" s="6" t="s">
        <v>39</v>
      </c>
      <c r="AH3" s="6" t="s">
        <v>40</v>
      </c>
      <c r="AI3" s="6" t="s">
        <v>41</v>
      </c>
      <c r="AJ3" s="6" t="s">
        <v>42</v>
      </c>
      <c r="AK3" s="6" t="s">
        <v>43</v>
      </c>
      <c r="AL3" s="26" t="s">
        <v>44</v>
      </c>
      <c r="AM3" s="178"/>
    </row>
    <row r="4" spans="1:39" s="4" customFormat="1" ht="138" customHeight="1">
      <c r="A4" s="139" t="s">
        <v>45</v>
      </c>
      <c r="B4" s="134" t="s">
        <v>22</v>
      </c>
      <c r="C4" s="156" t="s">
        <v>46</v>
      </c>
      <c r="D4" s="13" t="s">
        <v>47</v>
      </c>
      <c r="E4" s="7" t="s">
        <v>48</v>
      </c>
      <c r="F4" s="10" t="s">
        <v>49</v>
      </c>
      <c r="G4" s="22" t="s">
        <v>50</v>
      </c>
      <c r="H4" s="23" t="s">
        <v>51</v>
      </c>
      <c r="I4" s="23"/>
      <c r="J4" s="23"/>
      <c r="K4" s="22"/>
      <c r="L4" s="22"/>
      <c r="M4" s="35">
        <v>0</v>
      </c>
      <c r="N4" s="35">
        <v>0</v>
      </c>
      <c r="O4" s="36">
        <v>0</v>
      </c>
      <c r="P4" s="37">
        <v>0</v>
      </c>
      <c r="Q4" s="35">
        <v>0.2</v>
      </c>
      <c r="R4" s="35">
        <v>0</v>
      </c>
      <c r="S4" s="35">
        <v>0</v>
      </c>
      <c r="T4" s="38">
        <v>0</v>
      </c>
      <c r="U4" s="37">
        <v>0</v>
      </c>
      <c r="V4" s="35">
        <v>0</v>
      </c>
      <c r="W4" s="35">
        <v>0</v>
      </c>
      <c r="X4" s="35">
        <v>0</v>
      </c>
      <c r="Y4" s="36">
        <v>0</v>
      </c>
      <c r="Z4" s="37">
        <v>0</v>
      </c>
      <c r="AA4" s="35">
        <v>0</v>
      </c>
      <c r="AB4" s="35">
        <v>0</v>
      </c>
      <c r="AC4" s="35">
        <v>0</v>
      </c>
      <c r="AD4" s="35">
        <v>0</v>
      </c>
      <c r="AE4" s="36">
        <v>0</v>
      </c>
      <c r="AF4" s="37">
        <v>0</v>
      </c>
      <c r="AG4" s="35">
        <v>0</v>
      </c>
      <c r="AH4" s="35">
        <v>0</v>
      </c>
      <c r="AI4" s="35">
        <v>0</v>
      </c>
      <c r="AJ4" s="35">
        <v>0</v>
      </c>
      <c r="AK4" s="35">
        <v>0</v>
      </c>
      <c r="AL4" s="38">
        <v>0</v>
      </c>
      <c r="AM4" s="32" t="str">
        <f t="shared" ref="AM4:AM9" si="0">_xlfn.TEXTJOIN(", ",TRUE,
  IF(M4&gt;0,M$3&amp;": "&amp;TEXT(M4,"0%"),""),
  IF(N4&gt;0,N$3&amp;": "&amp;TEXT(N4,"0%"),""),
  IF(O4&gt;0,O$3&amp;": "&amp;TEXT(O4,"0%"),""),
  IF(P4&gt;0,P$3&amp;": "&amp;TEXT(P4,"0%"),""),
  IF(Q4&gt;0,Q$3&amp;": "&amp;TEXT(Q4,"0%"),""),
  IF(R4&gt;0,R$3&amp;": "&amp;TEXT(R4,"0%"),""),
  IF(S4&gt;0,S$3&amp;": "&amp;TEXT(S4,"0%"),""),
  IF(T4&gt;0,T$3&amp;": "&amp;TEXT(T4,"0%"),""),
  IF(U4&gt;0,U$3&amp;": "&amp;TEXT(U4,"0%"),""),
  IF(V4&gt;0,V$3&amp;": "&amp;TEXT(V4,"0%"),""),
  IF(W4&gt;0,W$3&amp;": "&amp;TEXT(W4,"0%"),""),
  IF(X4&gt;0,X$3&amp;": "&amp;TEXT(X4,"0%"),""),
  IF(Y4&gt;0,Y$3&amp;": "&amp;TEXT(Y4,"0%"),""),
  IF(Z4&gt;0,Z$3&amp;": "&amp;TEXT(Z4,"0%"),""),
  IF(AA4&gt;0,AA$3&amp;": "&amp;TEXT(AA4,"0%"),""),
  IF(AB4&gt;0,AB$3&amp;": "&amp;TEXT(AB4,"0%"),""),
  IF(AC4&gt;0,AC$3&amp;": "&amp;TEXT(AC4,"0%"),""),
  IF(AD4&gt;0,AD$3&amp;": "&amp;TEXT(AD4,"0%"),""),
  IF(AE4&gt;0,AE$3&amp;": "&amp;TEXT(AE4,"0%"),""),
  IF(AF4&gt;0,AF$3&amp;": "&amp;TEXT(AF4,"0%"),""),
  IF(AG4&gt;0,AG$3&amp;": "&amp;TEXT(AG4,"0%"),""),
  IF(AH4&gt;0,AH$3&amp;": "&amp;TEXT(AH4,"0%"),""),
  IF(AI4&gt;0,AI$3&amp;": "&amp;TEXT(AI4,"0%"),""),
  IF(AL4&gt;0,AL$3&amp;": "&amp;TEXT(AL4,"0%"),"")
)</f>
        <v>Arjun: 20%</v>
      </c>
    </row>
    <row r="5" spans="1:39" s="4" customFormat="1" ht="69" customHeight="1">
      <c r="A5" s="140"/>
      <c r="B5" s="135"/>
      <c r="C5" s="157"/>
      <c r="D5" s="14" t="s">
        <v>52</v>
      </c>
      <c r="E5" s="2" t="s">
        <v>48</v>
      </c>
      <c r="F5" s="11" t="s">
        <v>53</v>
      </c>
      <c r="G5" s="11" t="s">
        <v>54</v>
      </c>
      <c r="H5" s="15" t="s">
        <v>55</v>
      </c>
      <c r="I5" s="33"/>
      <c r="J5" s="33"/>
      <c r="K5" s="11"/>
      <c r="L5" s="11"/>
      <c r="M5" s="39">
        <v>0</v>
      </c>
      <c r="N5" s="39">
        <v>0</v>
      </c>
      <c r="O5" s="40">
        <v>0</v>
      </c>
      <c r="P5" s="41">
        <v>0</v>
      </c>
      <c r="Q5" s="39">
        <v>0</v>
      </c>
      <c r="R5" s="39">
        <v>0.05</v>
      </c>
      <c r="S5" s="39">
        <v>0</v>
      </c>
      <c r="T5" s="42">
        <v>0</v>
      </c>
      <c r="U5" s="41">
        <v>0</v>
      </c>
      <c r="V5" s="39">
        <v>0</v>
      </c>
      <c r="W5" s="39">
        <v>0</v>
      </c>
      <c r="X5" s="39">
        <v>0</v>
      </c>
      <c r="Y5" s="40">
        <v>0</v>
      </c>
      <c r="Z5" s="41">
        <v>0</v>
      </c>
      <c r="AA5" s="39">
        <v>0</v>
      </c>
      <c r="AB5" s="39">
        <v>0</v>
      </c>
      <c r="AC5" s="39">
        <v>0</v>
      </c>
      <c r="AD5" s="39">
        <v>0</v>
      </c>
      <c r="AE5" s="40">
        <v>0</v>
      </c>
      <c r="AF5" s="41">
        <v>0</v>
      </c>
      <c r="AG5" s="39">
        <v>0</v>
      </c>
      <c r="AH5" s="39">
        <v>0</v>
      </c>
      <c r="AI5" s="39">
        <v>0</v>
      </c>
      <c r="AJ5" s="39">
        <v>0</v>
      </c>
      <c r="AK5" s="39">
        <v>0</v>
      </c>
      <c r="AL5" s="42">
        <v>0</v>
      </c>
      <c r="AM5" s="32" t="str">
        <f t="shared" si="0"/>
        <v>Ahad: 5%</v>
      </c>
    </row>
    <row r="6" spans="1:39" s="4" customFormat="1" ht="82.5" customHeight="1">
      <c r="A6" s="140"/>
      <c r="B6" s="135"/>
      <c r="C6" s="157"/>
      <c r="D6" s="14" t="s">
        <v>56</v>
      </c>
      <c r="E6" s="2" t="s">
        <v>57</v>
      </c>
      <c r="F6" s="11" t="s">
        <v>53</v>
      </c>
      <c r="G6" s="11" t="s">
        <v>54</v>
      </c>
      <c r="H6" s="15" t="s">
        <v>58</v>
      </c>
      <c r="I6" s="33"/>
      <c r="J6" s="33"/>
      <c r="K6" s="11"/>
      <c r="L6" s="11"/>
      <c r="M6" s="39">
        <v>0</v>
      </c>
      <c r="N6" s="39">
        <v>0</v>
      </c>
      <c r="O6" s="40">
        <v>0</v>
      </c>
      <c r="P6" s="41">
        <v>0</v>
      </c>
      <c r="Q6" s="39">
        <v>0</v>
      </c>
      <c r="R6" s="39">
        <v>0.05</v>
      </c>
      <c r="S6" s="39">
        <v>0</v>
      </c>
      <c r="T6" s="42">
        <v>0</v>
      </c>
      <c r="U6" s="41">
        <v>0</v>
      </c>
      <c r="V6" s="39">
        <v>0</v>
      </c>
      <c r="W6" s="39">
        <v>0</v>
      </c>
      <c r="X6" s="39">
        <v>0</v>
      </c>
      <c r="Y6" s="40">
        <v>0</v>
      </c>
      <c r="Z6" s="41">
        <v>0</v>
      </c>
      <c r="AA6" s="39">
        <v>0</v>
      </c>
      <c r="AB6" s="39">
        <v>0</v>
      </c>
      <c r="AC6" s="39">
        <v>0</v>
      </c>
      <c r="AD6" s="39">
        <v>0</v>
      </c>
      <c r="AE6" s="40">
        <v>0</v>
      </c>
      <c r="AF6" s="41">
        <v>0</v>
      </c>
      <c r="AG6" s="39">
        <v>0</v>
      </c>
      <c r="AH6" s="39">
        <v>0</v>
      </c>
      <c r="AI6" s="39">
        <v>0</v>
      </c>
      <c r="AJ6" s="39">
        <v>0</v>
      </c>
      <c r="AK6" s="39">
        <v>0</v>
      </c>
      <c r="AL6" s="42">
        <v>0</v>
      </c>
      <c r="AM6" s="32" t="str">
        <f t="shared" si="0"/>
        <v>Ahad: 5%</v>
      </c>
    </row>
    <row r="7" spans="1:39" s="4" customFormat="1" ht="172.5" customHeight="1">
      <c r="A7" s="140"/>
      <c r="B7" s="135"/>
      <c r="C7" s="157"/>
      <c r="D7" s="14" t="s">
        <v>59</v>
      </c>
      <c r="E7" s="2" t="s">
        <v>48</v>
      </c>
      <c r="F7" s="11" t="s">
        <v>49</v>
      </c>
      <c r="G7" s="11" t="s">
        <v>54</v>
      </c>
      <c r="H7" s="15" t="s">
        <v>60</v>
      </c>
      <c r="I7" s="33"/>
      <c r="J7" s="33"/>
      <c r="K7" s="11"/>
      <c r="L7" s="11"/>
      <c r="M7" s="39">
        <v>0</v>
      </c>
      <c r="N7" s="39">
        <v>0</v>
      </c>
      <c r="O7" s="40">
        <v>0</v>
      </c>
      <c r="P7" s="41">
        <v>0</v>
      </c>
      <c r="Q7" s="39">
        <v>0.15</v>
      </c>
      <c r="R7" s="39">
        <v>0.15</v>
      </c>
      <c r="S7" s="39">
        <v>0</v>
      </c>
      <c r="T7" s="42">
        <v>0</v>
      </c>
      <c r="U7" s="41">
        <v>0</v>
      </c>
      <c r="V7" s="39">
        <v>0</v>
      </c>
      <c r="W7" s="39">
        <v>0</v>
      </c>
      <c r="X7" s="39">
        <v>0</v>
      </c>
      <c r="Y7" s="40">
        <v>0</v>
      </c>
      <c r="Z7" s="41">
        <v>0</v>
      </c>
      <c r="AA7" s="39">
        <v>0</v>
      </c>
      <c r="AB7" s="39">
        <v>0</v>
      </c>
      <c r="AC7" s="39">
        <v>0</v>
      </c>
      <c r="AD7" s="39">
        <v>0</v>
      </c>
      <c r="AE7" s="40">
        <v>0</v>
      </c>
      <c r="AF7" s="41">
        <v>0</v>
      </c>
      <c r="AG7" s="39">
        <v>0</v>
      </c>
      <c r="AH7" s="39">
        <v>0</v>
      </c>
      <c r="AI7" s="39">
        <v>0</v>
      </c>
      <c r="AJ7" s="39">
        <v>0</v>
      </c>
      <c r="AK7" s="39">
        <v>0</v>
      </c>
      <c r="AL7" s="42">
        <v>0</v>
      </c>
      <c r="AM7" s="32" t="str">
        <f t="shared" si="0"/>
        <v>Arjun: 15%, Ahad: 15%</v>
      </c>
    </row>
    <row r="8" spans="1:39" s="4" customFormat="1" ht="87.75" customHeight="1">
      <c r="A8" s="140"/>
      <c r="B8" s="135"/>
      <c r="C8" s="157"/>
      <c r="D8" s="14" t="s">
        <v>61</v>
      </c>
      <c r="E8" s="2" t="s">
        <v>48</v>
      </c>
      <c r="F8" s="11" t="s">
        <v>49</v>
      </c>
      <c r="G8" s="12" t="s">
        <v>62</v>
      </c>
      <c r="H8" s="15" t="s">
        <v>63</v>
      </c>
      <c r="I8" s="33"/>
      <c r="J8" s="33"/>
      <c r="K8" s="11"/>
      <c r="L8" s="11"/>
      <c r="M8" s="39">
        <v>0</v>
      </c>
      <c r="N8" s="39">
        <v>0</v>
      </c>
      <c r="O8" s="40">
        <v>0</v>
      </c>
      <c r="P8" s="41">
        <v>0</v>
      </c>
      <c r="Q8" s="39">
        <v>0</v>
      </c>
      <c r="R8" s="39">
        <v>0.2</v>
      </c>
      <c r="S8" s="39">
        <v>0</v>
      </c>
      <c r="T8" s="42">
        <v>0</v>
      </c>
      <c r="U8" s="41">
        <v>0</v>
      </c>
      <c r="V8" s="39">
        <v>0</v>
      </c>
      <c r="W8" s="39">
        <v>0</v>
      </c>
      <c r="X8" s="39">
        <v>0</v>
      </c>
      <c r="Y8" s="40">
        <v>0</v>
      </c>
      <c r="Z8" s="41">
        <v>0</v>
      </c>
      <c r="AA8" s="39">
        <v>0</v>
      </c>
      <c r="AB8" s="39">
        <v>0</v>
      </c>
      <c r="AC8" s="39">
        <v>0</v>
      </c>
      <c r="AD8" s="39">
        <v>0</v>
      </c>
      <c r="AE8" s="40">
        <v>0</v>
      </c>
      <c r="AF8" s="41">
        <v>0</v>
      </c>
      <c r="AG8" s="39">
        <v>0</v>
      </c>
      <c r="AH8" s="39">
        <v>0</v>
      </c>
      <c r="AI8" s="39">
        <v>0</v>
      </c>
      <c r="AJ8" s="39">
        <v>0</v>
      </c>
      <c r="AK8" s="39">
        <v>0</v>
      </c>
      <c r="AL8" s="42">
        <v>0</v>
      </c>
      <c r="AM8" s="32" t="str">
        <f t="shared" si="0"/>
        <v>Ahad: 20%</v>
      </c>
    </row>
    <row r="9" spans="1:39" s="4" customFormat="1" ht="56.1" customHeight="1">
      <c r="A9" s="140"/>
      <c r="B9" s="135"/>
      <c r="C9" s="157"/>
      <c r="D9" s="17" t="s">
        <v>64</v>
      </c>
      <c r="E9" s="18" t="s">
        <v>65</v>
      </c>
      <c r="F9" s="19" t="s">
        <v>49</v>
      </c>
      <c r="G9" s="19" t="s">
        <v>54</v>
      </c>
      <c r="H9" s="20" t="s">
        <v>66</v>
      </c>
      <c r="I9" s="34"/>
      <c r="J9" s="34"/>
      <c r="K9" s="19"/>
      <c r="L9" s="19"/>
      <c r="M9" s="39">
        <v>0</v>
      </c>
      <c r="N9" s="39">
        <v>0</v>
      </c>
      <c r="O9" s="40">
        <v>0</v>
      </c>
      <c r="P9" s="41">
        <v>0</v>
      </c>
      <c r="Q9" s="43">
        <v>0</v>
      </c>
      <c r="R9" s="43">
        <v>0.2</v>
      </c>
      <c r="S9" s="39">
        <v>0</v>
      </c>
      <c r="T9" s="42">
        <v>0</v>
      </c>
      <c r="U9" s="41">
        <v>0</v>
      </c>
      <c r="V9" s="39">
        <v>0</v>
      </c>
      <c r="W9" s="39">
        <v>0</v>
      </c>
      <c r="X9" s="39">
        <v>0</v>
      </c>
      <c r="Y9" s="40">
        <v>0</v>
      </c>
      <c r="Z9" s="41">
        <v>0</v>
      </c>
      <c r="AA9" s="39">
        <v>0</v>
      </c>
      <c r="AB9" s="39">
        <v>0</v>
      </c>
      <c r="AC9" s="39">
        <v>0</v>
      </c>
      <c r="AD9" s="39">
        <v>0</v>
      </c>
      <c r="AE9" s="40">
        <v>0</v>
      </c>
      <c r="AF9" s="41">
        <v>0</v>
      </c>
      <c r="AG9" s="39">
        <v>0</v>
      </c>
      <c r="AH9" s="39">
        <v>0</v>
      </c>
      <c r="AI9" s="39">
        <v>0</v>
      </c>
      <c r="AJ9" s="39">
        <v>0</v>
      </c>
      <c r="AK9" s="39">
        <v>0</v>
      </c>
      <c r="AL9" s="42">
        <v>0</v>
      </c>
      <c r="AM9" s="32" t="str">
        <f t="shared" si="0"/>
        <v>Ahad: 20%</v>
      </c>
    </row>
    <row r="10" spans="1:39" s="4" customFormat="1" ht="26.25" customHeight="1" thickBot="1">
      <c r="A10" s="140"/>
      <c r="B10" s="135"/>
      <c r="C10" s="158"/>
      <c r="D10" s="181" t="s">
        <v>67</v>
      </c>
      <c r="E10" s="179"/>
      <c r="F10" s="179"/>
      <c r="G10" s="179"/>
      <c r="H10" s="179"/>
      <c r="I10" s="179"/>
      <c r="J10" s="179"/>
      <c r="K10" s="179"/>
      <c r="L10" s="180"/>
      <c r="M10" s="44">
        <f t="shared" ref="M10:AL10" si="1">SUM(M4:M9)</f>
        <v>0</v>
      </c>
      <c r="N10" s="44">
        <f t="shared" si="1"/>
        <v>0</v>
      </c>
      <c r="O10" s="45">
        <f t="shared" si="1"/>
        <v>0</v>
      </c>
      <c r="P10" s="46">
        <f t="shared" si="1"/>
        <v>0</v>
      </c>
      <c r="Q10" s="44">
        <f t="shared" si="1"/>
        <v>0.35</v>
      </c>
      <c r="R10" s="44">
        <f t="shared" si="1"/>
        <v>0.65</v>
      </c>
      <c r="S10" s="44">
        <f t="shared" si="1"/>
        <v>0</v>
      </c>
      <c r="T10" s="47">
        <f t="shared" si="1"/>
        <v>0</v>
      </c>
      <c r="U10" s="46">
        <f t="shared" si="1"/>
        <v>0</v>
      </c>
      <c r="V10" s="44">
        <f t="shared" si="1"/>
        <v>0</v>
      </c>
      <c r="W10" s="44">
        <f t="shared" si="1"/>
        <v>0</v>
      </c>
      <c r="X10" s="44">
        <f t="shared" si="1"/>
        <v>0</v>
      </c>
      <c r="Y10" s="45">
        <f t="shared" si="1"/>
        <v>0</v>
      </c>
      <c r="Z10" s="46">
        <f t="shared" si="1"/>
        <v>0</v>
      </c>
      <c r="AA10" s="44">
        <f t="shared" si="1"/>
        <v>0</v>
      </c>
      <c r="AB10" s="44">
        <f t="shared" si="1"/>
        <v>0</v>
      </c>
      <c r="AC10" s="44">
        <f t="shared" si="1"/>
        <v>0</v>
      </c>
      <c r="AD10" s="44">
        <f t="shared" si="1"/>
        <v>0</v>
      </c>
      <c r="AE10" s="45">
        <f t="shared" si="1"/>
        <v>0</v>
      </c>
      <c r="AF10" s="46">
        <f t="shared" si="1"/>
        <v>0</v>
      </c>
      <c r="AG10" s="44">
        <f t="shared" si="1"/>
        <v>0</v>
      </c>
      <c r="AH10" s="44">
        <f t="shared" si="1"/>
        <v>0</v>
      </c>
      <c r="AI10" s="44">
        <f t="shared" si="1"/>
        <v>0</v>
      </c>
      <c r="AJ10" s="48">
        <f t="shared" si="1"/>
        <v>0</v>
      </c>
      <c r="AK10" s="48">
        <f t="shared" si="1"/>
        <v>0</v>
      </c>
      <c r="AL10" s="47">
        <f t="shared" si="1"/>
        <v>0</v>
      </c>
      <c r="AM10" s="32" t="str">
        <f>_xlfn.TEXTJOIN(", ",TRUE,
  IF(M10&gt;0,M$3&amp;": "&amp;TEXT(M10,"0%"),""),
  IF(N10&gt;0,N$3&amp;": "&amp;TEXT(N10,"0%"),""),
  IF(O10&gt;0,O$3&amp;": "&amp;TEXT(O10,"0%"),""),
  IF(P10&gt;0,P$3&amp;": "&amp;TEXT(P10,"0%"),""),
  IF(Q10&gt;0,Q$3&amp;": "&amp;TEXT(Q10,"0%"),""),
  IF(R10&gt;0,R$3&amp;": "&amp;TEXT(R10,"0%"),""),
  IF(S10&gt;0,S$3&amp;": "&amp;TEXT(S10,"0%"),""),
  IF(T10&gt;0,T$3&amp;": "&amp;TEXT(T10,"0%"),""),
  IF(U10&gt;0,U$3&amp;": "&amp;TEXT(U10,"0%"),""),
  IF(V10&gt;0,V$3&amp;": "&amp;TEXT(V10,"0%"),""),
  IF(W10&gt;0,W$3&amp;": "&amp;TEXT(W10,"0%"),""),
  IF(X10&gt;0,X$3&amp;": "&amp;TEXT(X10,"0%"),""),
  IF(Y10&gt;0,Y$3&amp;": "&amp;TEXT(Y10,"0%"),""),
  IF(Z10&gt;0,Z$3&amp;": "&amp;TEXT(Z10,"0%"),""),
  IF(AA10&gt;0,AA$3&amp;": "&amp;TEXT(AA10,"0%"),""),
  IF(AB10&gt;0,AB$3&amp;": "&amp;TEXT(AB10,"0%"),""),
  IF(AC10&gt;0,AC$3&amp;": "&amp;TEXT(AC10,"0%"),""),
  IF(AD10&gt;0,AD$3&amp;": "&amp;TEXT(AD10,"0%"),""),
  IF(AE10&gt;0,AE$3&amp;": "&amp;TEXT(AE10,"0%"),""),
  IF(AF10&gt;0,AF$3&amp;": "&amp;TEXT(AF10,"0%"),""),
  IF(AG10&gt;0,AG$3&amp;": "&amp;TEXT(AG10,"0%"),""),
  IF(AH10&gt;0,AH$3&amp;": "&amp;TEXT(AH10,"0%"),""),
  IF(AJ10&gt;0,AI$3&amp;": "&amp;TEXT(AJ10,"0%"),""),
  IF(AL10&gt;0,AL$3&amp;": "&amp;TEXT(AL10,"0%"),"")
)</f>
        <v>Arjun: 35%, Ahad: 65%</v>
      </c>
    </row>
    <row r="11" spans="1:39" s="4" customFormat="1" ht="94.5" customHeight="1">
      <c r="A11" s="141" t="s">
        <v>68</v>
      </c>
      <c r="B11" s="134" t="s">
        <v>22</v>
      </c>
      <c r="C11" s="156" t="s">
        <v>46</v>
      </c>
      <c r="D11" s="13" t="s">
        <v>69</v>
      </c>
      <c r="E11" s="7" t="s">
        <v>48</v>
      </c>
      <c r="F11" s="7" t="s">
        <v>49</v>
      </c>
      <c r="G11" s="15" t="s">
        <v>70</v>
      </c>
      <c r="H11" s="15" t="s">
        <v>71</v>
      </c>
      <c r="I11" s="28"/>
      <c r="J11" s="28"/>
      <c r="K11" s="7"/>
      <c r="L11" s="7"/>
      <c r="M11" s="35">
        <v>0</v>
      </c>
      <c r="N11" s="35">
        <v>0</v>
      </c>
      <c r="O11" s="36">
        <v>0</v>
      </c>
      <c r="P11" s="37">
        <v>0</v>
      </c>
      <c r="Q11" s="35">
        <v>0.2</v>
      </c>
      <c r="R11" s="35">
        <v>0</v>
      </c>
      <c r="S11" s="35">
        <v>0</v>
      </c>
      <c r="T11" s="38">
        <v>0</v>
      </c>
      <c r="U11" s="37">
        <v>0</v>
      </c>
      <c r="V11" s="35">
        <v>0</v>
      </c>
      <c r="W11" s="35">
        <v>0</v>
      </c>
      <c r="X11" s="35">
        <v>0</v>
      </c>
      <c r="Y11" s="36">
        <v>0</v>
      </c>
      <c r="Z11" s="37">
        <v>0</v>
      </c>
      <c r="AA11" s="35">
        <v>0</v>
      </c>
      <c r="AB11" s="35">
        <v>0</v>
      </c>
      <c r="AC11" s="35">
        <v>0</v>
      </c>
      <c r="AD11" s="35">
        <v>0</v>
      </c>
      <c r="AE11" s="36">
        <v>0</v>
      </c>
      <c r="AF11" s="37">
        <v>0</v>
      </c>
      <c r="AG11" s="35">
        <v>0</v>
      </c>
      <c r="AH11" s="35">
        <v>0</v>
      </c>
      <c r="AI11" s="35">
        <v>0</v>
      </c>
      <c r="AJ11" s="35">
        <v>0</v>
      </c>
      <c r="AK11" s="35">
        <v>0</v>
      </c>
      <c r="AL11" s="38">
        <v>0</v>
      </c>
      <c r="AM11" s="32" t="str">
        <f t="shared" ref="AM11:AM29" si="2">_xlfn.TEXTJOIN(", ",TRUE,
  IF(M11&gt;0,M$3&amp;": "&amp;TEXT(M11,"0%"),""),
  IF(N11&gt;0,N$3&amp;": "&amp;TEXT(N11,"0%"),""),
  IF(O11&gt;0,O$3&amp;": "&amp;TEXT(O11,"0%"),""),
  IF(P11&gt;0,P$3&amp;": "&amp;TEXT(P11,"0%"),""),
  IF(Q11&gt;0,Q$3&amp;": "&amp;TEXT(Q11,"0%"),""),
  IF(R11&gt;0,R$3&amp;": "&amp;TEXT(R11,"0%"),""),
  IF(S11&gt;0,S$3&amp;": "&amp;TEXT(S11,"0%"),""),
  IF(T11&gt;0,T$3&amp;": "&amp;TEXT(T11,"0%"),""),
  IF(U11&gt;0,U$3&amp;": "&amp;TEXT(U11,"0%"),""),
  IF(V11&gt;0,V$3&amp;": "&amp;TEXT(V11,"0%"),""),
  IF(W11&gt;0,W$3&amp;": "&amp;TEXT(W11,"0%"),""),
  IF(X11&gt;0,X$3&amp;": "&amp;TEXT(X11,"0%"),""),
  IF(Y11&gt;0,Y$3&amp;": "&amp;TEXT(Y11,"0%"),""),
  IF(Z11&gt;0,Z$3&amp;": "&amp;TEXT(Z11,"0%"),""),
  IF(AA11&gt;0,AA$3&amp;": "&amp;TEXT(AA11,"0%"),""),
  IF(AB11&gt;0,AB$3&amp;": "&amp;TEXT(AB11,"0%"),""),
  IF(AC11&gt;0,AC$3&amp;": "&amp;TEXT(AC11,"0%"),""),
  IF(AD11&gt;0,AD$3&amp;": "&amp;TEXT(AD11,"0%"),""),
  IF(AE11&gt;0,AE$3&amp;": "&amp;TEXT(AE11,"0%"),""),
  IF(AF11&gt;0,AF$3&amp;": "&amp;TEXT(AF11,"0%"),""),
  IF(AG11&gt;0,AG$3&amp;": "&amp;TEXT(AG11,"0%"),""),
  IF(AH11&gt;0,AH$3&amp;": "&amp;TEXT(AH11,"0%"),""),
  IF(AI11&gt;0,AI$3&amp;": "&amp;TEXT(AI11,"0%"),""),
  IF(AL11&gt;0,AL$3&amp;": "&amp;TEXT(AL11,"0%"),"")
)</f>
        <v>Arjun: 20%</v>
      </c>
    </row>
    <row r="12" spans="1:39" s="4" customFormat="1" ht="159.6">
      <c r="A12" s="142"/>
      <c r="B12" s="135"/>
      <c r="C12" s="157"/>
      <c r="D12" s="49" t="s">
        <v>72</v>
      </c>
      <c r="E12" s="9" t="s">
        <v>48</v>
      </c>
      <c r="F12" s="9" t="s">
        <v>53</v>
      </c>
      <c r="G12" s="15" t="s">
        <v>73</v>
      </c>
      <c r="H12" s="15" t="s">
        <v>74</v>
      </c>
      <c r="I12" s="29"/>
      <c r="J12" s="29"/>
      <c r="K12" s="9"/>
      <c r="L12" s="9"/>
      <c r="M12" s="39">
        <v>0</v>
      </c>
      <c r="N12" s="39">
        <v>0</v>
      </c>
      <c r="O12" s="40">
        <v>0</v>
      </c>
      <c r="P12" s="41">
        <v>0</v>
      </c>
      <c r="Q12" s="39">
        <v>0.06</v>
      </c>
      <c r="R12" s="39">
        <v>0</v>
      </c>
      <c r="S12" s="39">
        <v>0</v>
      </c>
      <c r="T12" s="42">
        <v>0</v>
      </c>
      <c r="U12" s="41">
        <v>0</v>
      </c>
      <c r="V12" s="39">
        <v>0</v>
      </c>
      <c r="W12" s="39">
        <v>0</v>
      </c>
      <c r="X12" s="39">
        <v>0</v>
      </c>
      <c r="Y12" s="40">
        <v>0</v>
      </c>
      <c r="Z12" s="41">
        <v>0</v>
      </c>
      <c r="AA12" s="39">
        <v>0</v>
      </c>
      <c r="AB12" s="39">
        <v>0</v>
      </c>
      <c r="AC12" s="39">
        <v>0</v>
      </c>
      <c r="AD12" s="39">
        <v>0</v>
      </c>
      <c r="AE12" s="40">
        <v>0</v>
      </c>
      <c r="AF12" s="41">
        <v>0</v>
      </c>
      <c r="AG12" s="39">
        <v>0</v>
      </c>
      <c r="AH12" s="39">
        <v>0</v>
      </c>
      <c r="AI12" s="39">
        <v>0</v>
      </c>
      <c r="AJ12" s="39">
        <v>0</v>
      </c>
      <c r="AK12" s="39">
        <v>0</v>
      </c>
      <c r="AL12" s="42">
        <v>0</v>
      </c>
      <c r="AM12" s="32" t="str">
        <f t="shared" si="2"/>
        <v>Arjun: 6%</v>
      </c>
    </row>
    <row r="13" spans="1:39" s="4" customFormat="1" ht="57.95">
      <c r="A13" s="142"/>
      <c r="B13" s="135"/>
      <c r="C13" s="157"/>
      <c r="D13" s="49" t="s">
        <v>75</v>
      </c>
      <c r="E13" s="9" t="s">
        <v>48</v>
      </c>
      <c r="F13" s="9" t="s">
        <v>53</v>
      </c>
      <c r="G13" s="15" t="s">
        <v>76</v>
      </c>
      <c r="H13" s="15" t="s">
        <v>77</v>
      </c>
      <c r="I13" s="29"/>
      <c r="J13" s="29"/>
      <c r="K13" s="9"/>
      <c r="L13" s="9"/>
      <c r="M13" s="39">
        <v>0</v>
      </c>
      <c r="N13" s="39">
        <v>0</v>
      </c>
      <c r="O13" s="40">
        <v>0</v>
      </c>
      <c r="P13" s="41">
        <v>0</v>
      </c>
      <c r="Q13" s="39">
        <v>0.06</v>
      </c>
      <c r="R13" s="39">
        <v>0</v>
      </c>
      <c r="S13" s="39">
        <v>0</v>
      </c>
      <c r="T13" s="42">
        <v>0</v>
      </c>
      <c r="U13" s="41">
        <v>0</v>
      </c>
      <c r="V13" s="39">
        <v>0</v>
      </c>
      <c r="W13" s="39">
        <v>0</v>
      </c>
      <c r="X13" s="39">
        <v>0</v>
      </c>
      <c r="Y13" s="40">
        <v>0</v>
      </c>
      <c r="Z13" s="41">
        <v>0</v>
      </c>
      <c r="AA13" s="39">
        <v>0</v>
      </c>
      <c r="AB13" s="39">
        <v>0</v>
      </c>
      <c r="AC13" s="39">
        <v>0</v>
      </c>
      <c r="AD13" s="39">
        <v>0</v>
      </c>
      <c r="AE13" s="40">
        <v>0</v>
      </c>
      <c r="AF13" s="41">
        <v>0</v>
      </c>
      <c r="AG13" s="39">
        <v>0</v>
      </c>
      <c r="AH13" s="39">
        <v>0</v>
      </c>
      <c r="AI13" s="39">
        <v>0</v>
      </c>
      <c r="AJ13" s="39">
        <v>0</v>
      </c>
      <c r="AK13" s="39">
        <v>0</v>
      </c>
      <c r="AL13" s="42">
        <v>0</v>
      </c>
      <c r="AM13" s="32" t="str">
        <f t="shared" si="2"/>
        <v>Arjun: 6%</v>
      </c>
    </row>
    <row r="14" spans="1:39" s="4" customFormat="1" ht="72.599999999999994">
      <c r="A14" s="142"/>
      <c r="B14" s="135"/>
      <c r="C14" s="157"/>
      <c r="D14" s="49" t="s">
        <v>78</v>
      </c>
      <c r="E14" s="9" t="s">
        <v>65</v>
      </c>
      <c r="F14" s="9" t="s">
        <v>49</v>
      </c>
      <c r="G14" s="15" t="s">
        <v>76</v>
      </c>
      <c r="H14" s="15" t="s">
        <v>79</v>
      </c>
      <c r="I14" s="29"/>
      <c r="J14" s="29"/>
      <c r="K14" s="9"/>
      <c r="L14" s="9"/>
      <c r="M14" s="39">
        <v>0</v>
      </c>
      <c r="N14" s="39">
        <v>0</v>
      </c>
      <c r="O14" s="40">
        <v>0</v>
      </c>
      <c r="P14" s="41">
        <v>0</v>
      </c>
      <c r="Q14" s="39">
        <v>0.2</v>
      </c>
      <c r="R14" s="39">
        <v>0</v>
      </c>
      <c r="S14" s="39">
        <v>0</v>
      </c>
      <c r="T14" s="42">
        <v>0</v>
      </c>
      <c r="U14" s="41">
        <v>0</v>
      </c>
      <c r="V14" s="39">
        <v>0</v>
      </c>
      <c r="W14" s="39">
        <v>0</v>
      </c>
      <c r="X14" s="39">
        <v>0</v>
      </c>
      <c r="Y14" s="40">
        <v>0</v>
      </c>
      <c r="Z14" s="41">
        <v>0</v>
      </c>
      <c r="AA14" s="39">
        <v>0</v>
      </c>
      <c r="AB14" s="39">
        <v>0</v>
      </c>
      <c r="AC14" s="39">
        <v>0</v>
      </c>
      <c r="AD14" s="39">
        <v>0</v>
      </c>
      <c r="AE14" s="40">
        <v>0</v>
      </c>
      <c r="AF14" s="41">
        <v>0</v>
      </c>
      <c r="AG14" s="39">
        <v>0</v>
      </c>
      <c r="AH14" s="39">
        <v>0</v>
      </c>
      <c r="AI14" s="39">
        <v>0</v>
      </c>
      <c r="AJ14" s="39">
        <v>0</v>
      </c>
      <c r="AK14" s="39">
        <v>0</v>
      </c>
      <c r="AL14" s="42">
        <v>0</v>
      </c>
      <c r="AM14" s="32" t="str">
        <f t="shared" si="2"/>
        <v>Arjun: 20%</v>
      </c>
    </row>
    <row r="15" spans="1:39" s="4" customFormat="1" ht="57.95">
      <c r="A15" s="143"/>
      <c r="B15" s="135"/>
      <c r="C15" s="157"/>
      <c r="D15" s="14" t="s">
        <v>80</v>
      </c>
      <c r="E15" s="2" t="s">
        <v>48</v>
      </c>
      <c r="F15" s="2" t="s">
        <v>49</v>
      </c>
      <c r="G15" s="15" t="s">
        <v>81</v>
      </c>
      <c r="H15" s="15" t="s">
        <v>82</v>
      </c>
      <c r="I15" s="30"/>
      <c r="J15" s="30"/>
      <c r="K15" s="2"/>
      <c r="L15" s="2"/>
      <c r="M15" s="39">
        <v>0</v>
      </c>
      <c r="N15" s="39">
        <v>0</v>
      </c>
      <c r="O15" s="40">
        <v>0</v>
      </c>
      <c r="P15" s="41">
        <v>0.1</v>
      </c>
      <c r="Q15" s="39">
        <v>0</v>
      </c>
      <c r="R15" s="39">
        <v>0</v>
      </c>
      <c r="S15" s="39">
        <v>0</v>
      </c>
      <c r="T15" s="42">
        <v>0</v>
      </c>
      <c r="U15" s="41">
        <v>0</v>
      </c>
      <c r="V15" s="39">
        <v>0</v>
      </c>
      <c r="W15" s="39">
        <v>0</v>
      </c>
      <c r="X15" s="39">
        <v>0</v>
      </c>
      <c r="Y15" s="40">
        <v>0</v>
      </c>
      <c r="Z15" s="41">
        <v>0</v>
      </c>
      <c r="AA15" s="39">
        <v>0</v>
      </c>
      <c r="AB15" s="39">
        <v>0</v>
      </c>
      <c r="AC15" s="39">
        <v>0</v>
      </c>
      <c r="AD15" s="39">
        <v>0</v>
      </c>
      <c r="AE15" s="40">
        <v>0</v>
      </c>
      <c r="AF15" s="41">
        <v>0</v>
      </c>
      <c r="AG15" s="39">
        <v>0</v>
      </c>
      <c r="AH15" s="39">
        <v>0</v>
      </c>
      <c r="AI15" s="39">
        <v>0</v>
      </c>
      <c r="AJ15" s="39">
        <v>0</v>
      </c>
      <c r="AK15" s="39">
        <v>0</v>
      </c>
      <c r="AL15" s="42">
        <v>0</v>
      </c>
      <c r="AM15" s="32" t="str">
        <f t="shared" si="2"/>
        <v>Arielle: 10%</v>
      </c>
    </row>
    <row r="16" spans="1:39" s="4" customFormat="1" ht="87">
      <c r="A16" s="143"/>
      <c r="B16" s="135"/>
      <c r="C16" s="157"/>
      <c r="D16" s="14" t="s">
        <v>83</v>
      </c>
      <c r="E16" s="2" t="s">
        <v>65</v>
      </c>
      <c r="F16" s="2" t="s">
        <v>49</v>
      </c>
      <c r="G16" s="15" t="s">
        <v>76</v>
      </c>
      <c r="H16" s="15" t="s">
        <v>84</v>
      </c>
      <c r="I16" s="30"/>
      <c r="J16" s="30"/>
      <c r="K16" s="2"/>
      <c r="L16" s="2"/>
      <c r="M16" s="39">
        <v>0</v>
      </c>
      <c r="N16" s="39">
        <v>0</v>
      </c>
      <c r="O16" s="40">
        <v>0</v>
      </c>
      <c r="P16" s="41">
        <v>0</v>
      </c>
      <c r="Q16" s="39">
        <v>0.1</v>
      </c>
      <c r="R16" s="39">
        <v>0</v>
      </c>
      <c r="S16" s="39">
        <v>0</v>
      </c>
      <c r="T16" s="42">
        <v>0</v>
      </c>
      <c r="U16" s="41">
        <v>0</v>
      </c>
      <c r="V16" s="39">
        <v>0</v>
      </c>
      <c r="W16" s="39">
        <v>0</v>
      </c>
      <c r="X16" s="39">
        <v>0</v>
      </c>
      <c r="Y16" s="40">
        <v>0</v>
      </c>
      <c r="Z16" s="41">
        <v>0</v>
      </c>
      <c r="AA16" s="39">
        <v>0</v>
      </c>
      <c r="AB16" s="39">
        <v>0</v>
      </c>
      <c r="AC16" s="39">
        <v>0</v>
      </c>
      <c r="AD16" s="39">
        <v>0</v>
      </c>
      <c r="AE16" s="40">
        <v>0</v>
      </c>
      <c r="AF16" s="41">
        <v>0</v>
      </c>
      <c r="AG16" s="39">
        <v>0</v>
      </c>
      <c r="AH16" s="39">
        <v>0</v>
      </c>
      <c r="AI16" s="39">
        <v>0</v>
      </c>
      <c r="AJ16" s="39">
        <v>0</v>
      </c>
      <c r="AK16" s="39">
        <v>0</v>
      </c>
      <c r="AL16" s="42">
        <v>0</v>
      </c>
      <c r="AM16" s="32" t="str">
        <f t="shared" si="2"/>
        <v>Arjun: 10%</v>
      </c>
    </row>
    <row r="17" spans="1:39" s="4" customFormat="1" ht="15.95" customHeight="1" thickBot="1">
      <c r="A17" s="144"/>
      <c r="B17" s="135"/>
      <c r="C17" s="157"/>
      <c r="D17" s="161" t="s">
        <v>67</v>
      </c>
      <c r="E17" s="162"/>
      <c r="F17" s="162"/>
      <c r="G17" s="162"/>
      <c r="H17" s="162"/>
      <c r="I17" s="162"/>
      <c r="J17" s="162"/>
      <c r="K17" s="162"/>
      <c r="L17" s="163"/>
      <c r="M17" s="44">
        <f t="shared" ref="M17:AL17" si="3">SUM(M11:M16)</f>
        <v>0</v>
      </c>
      <c r="N17" s="44">
        <f t="shared" si="3"/>
        <v>0</v>
      </c>
      <c r="O17" s="45">
        <f t="shared" si="3"/>
        <v>0</v>
      </c>
      <c r="P17" s="46">
        <f t="shared" si="3"/>
        <v>0.1</v>
      </c>
      <c r="Q17" s="44">
        <f t="shared" si="3"/>
        <v>0.62</v>
      </c>
      <c r="R17" s="44">
        <f t="shared" si="3"/>
        <v>0</v>
      </c>
      <c r="S17" s="44">
        <f t="shared" si="3"/>
        <v>0</v>
      </c>
      <c r="T17" s="47">
        <f t="shared" si="3"/>
        <v>0</v>
      </c>
      <c r="U17" s="46">
        <f t="shared" si="3"/>
        <v>0</v>
      </c>
      <c r="V17" s="44">
        <f t="shared" si="3"/>
        <v>0</v>
      </c>
      <c r="W17" s="44">
        <f t="shared" si="3"/>
        <v>0</v>
      </c>
      <c r="X17" s="44">
        <f t="shared" si="3"/>
        <v>0</v>
      </c>
      <c r="Y17" s="45">
        <f t="shared" si="3"/>
        <v>0</v>
      </c>
      <c r="Z17" s="46">
        <f t="shared" si="3"/>
        <v>0</v>
      </c>
      <c r="AA17" s="44">
        <f t="shared" si="3"/>
        <v>0</v>
      </c>
      <c r="AB17" s="44">
        <f t="shared" si="3"/>
        <v>0</v>
      </c>
      <c r="AC17" s="44">
        <f t="shared" si="3"/>
        <v>0</v>
      </c>
      <c r="AD17" s="44">
        <f t="shared" si="3"/>
        <v>0</v>
      </c>
      <c r="AE17" s="45">
        <f t="shared" si="3"/>
        <v>0</v>
      </c>
      <c r="AF17" s="46">
        <f t="shared" si="3"/>
        <v>0</v>
      </c>
      <c r="AG17" s="44">
        <f t="shared" si="3"/>
        <v>0</v>
      </c>
      <c r="AH17" s="44">
        <f t="shared" si="3"/>
        <v>0</v>
      </c>
      <c r="AI17" s="44">
        <f t="shared" si="3"/>
        <v>0</v>
      </c>
      <c r="AJ17" s="48">
        <f t="shared" si="3"/>
        <v>0</v>
      </c>
      <c r="AK17" s="48">
        <f t="shared" si="3"/>
        <v>0</v>
      </c>
      <c r="AL17" s="47">
        <f t="shared" si="3"/>
        <v>0</v>
      </c>
      <c r="AM17" s="32" t="str">
        <f t="shared" si="2"/>
        <v>Arielle: 10%, Arjun: 62%</v>
      </c>
    </row>
    <row r="18" spans="1:39" s="4" customFormat="1" ht="39" customHeight="1">
      <c r="A18" s="124" t="s">
        <v>85</v>
      </c>
      <c r="B18" s="128" t="s">
        <v>22</v>
      </c>
      <c r="C18" s="120" t="s">
        <v>46</v>
      </c>
      <c r="D18" s="114" t="s">
        <v>86</v>
      </c>
      <c r="E18" s="114" t="s">
        <v>48</v>
      </c>
      <c r="F18" s="114" t="s">
        <v>53</v>
      </c>
      <c r="G18" s="114" t="s">
        <v>87</v>
      </c>
      <c r="H18" s="50" t="s">
        <v>88</v>
      </c>
      <c r="I18" s="115"/>
      <c r="J18" s="115"/>
      <c r="K18" s="114"/>
      <c r="L18" s="114"/>
      <c r="M18" s="35">
        <v>0</v>
      </c>
      <c r="N18" s="35">
        <v>0</v>
      </c>
      <c r="O18" s="36">
        <v>0</v>
      </c>
      <c r="P18" s="37">
        <v>0</v>
      </c>
      <c r="Q18" s="35">
        <v>0</v>
      </c>
      <c r="R18" s="35">
        <v>0.06</v>
      </c>
      <c r="S18" s="35">
        <v>0</v>
      </c>
      <c r="T18" s="38">
        <v>0</v>
      </c>
      <c r="U18" s="37">
        <v>0</v>
      </c>
      <c r="V18" s="35">
        <v>0</v>
      </c>
      <c r="W18" s="35">
        <v>0</v>
      </c>
      <c r="X18" s="35">
        <v>0</v>
      </c>
      <c r="Y18" s="36">
        <v>0</v>
      </c>
      <c r="Z18" s="37">
        <v>0</v>
      </c>
      <c r="AA18" s="35">
        <v>0</v>
      </c>
      <c r="AB18" s="35">
        <v>0</v>
      </c>
      <c r="AC18" s="35">
        <v>0</v>
      </c>
      <c r="AD18" s="35">
        <v>0</v>
      </c>
      <c r="AE18" s="36">
        <v>0</v>
      </c>
      <c r="AF18" s="37">
        <v>0</v>
      </c>
      <c r="AG18" s="35">
        <v>0</v>
      </c>
      <c r="AH18" s="35">
        <v>0</v>
      </c>
      <c r="AI18" s="35">
        <v>0</v>
      </c>
      <c r="AJ18" s="35">
        <v>0</v>
      </c>
      <c r="AK18" s="35">
        <v>0</v>
      </c>
      <c r="AL18" s="38">
        <v>0</v>
      </c>
      <c r="AM18" s="32" t="str">
        <f t="shared" si="2"/>
        <v>Ahad: 6%</v>
      </c>
    </row>
    <row r="19" spans="1:39" s="4" customFormat="1" ht="18.95" customHeight="1">
      <c r="A19" s="125"/>
      <c r="B19" s="129"/>
      <c r="C19" s="121"/>
      <c r="D19" s="116" t="s">
        <v>89</v>
      </c>
      <c r="E19" s="116" t="s">
        <v>48</v>
      </c>
      <c r="F19" s="116" t="s">
        <v>90</v>
      </c>
      <c r="G19" s="116" t="s">
        <v>91</v>
      </c>
      <c r="H19" s="51" t="s">
        <v>92</v>
      </c>
      <c r="I19" s="117"/>
      <c r="J19" s="117"/>
      <c r="K19" s="116"/>
      <c r="L19" s="116"/>
      <c r="M19" s="39">
        <v>0</v>
      </c>
      <c r="N19" s="39">
        <v>0</v>
      </c>
      <c r="O19" s="40">
        <v>0</v>
      </c>
      <c r="P19" s="41">
        <v>0</v>
      </c>
      <c r="Q19" s="39">
        <v>0</v>
      </c>
      <c r="R19" s="39">
        <v>0.02</v>
      </c>
      <c r="S19" s="39">
        <v>0</v>
      </c>
      <c r="T19" s="42">
        <v>0</v>
      </c>
      <c r="U19" s="41">
        <v>0</v>
      </c>
      <c r="V19" s="39">
        <v>0</v>
      </c>
      <c r="W19" s="39">
        <v>0</v>
      </c>
      <c r="X19" s="39">
        <v>0</v>
      </c>
      <c r="Y19" s="40">
        <v>0</v>
      </c>
      <c r="Z19" s="41">
        <v>0</v>
      </c>
      <c r="AA19" s="39">
        <v>0</v>
      </c>
      <c r="AB19" s="39">
        <v>0</v>
      </c>
      <c r="AC19" s="39">
        <v>0</v>
      </c>
      <c r="AD19" s="39">
        <v>0</v>
      </c>
      <c r="AE19" s="40">
        <v>0</v>
      </c>
      <c r="AF19" s="41">
        <v>0</v>
      </c>
      <c r="AG19" s="39">
        <v>0</v>
      </c>
      <c r="AH19" s="39">
        <v>0</v>
      </c>
      <c r="AI19" s="39">
        <v>0</v>
      </c>
      <c r="AJ19" s="39">
        <v>0</v>
      </c>
      <c r="AK19" s="39">
        <v>0</v>
      </c>
      <c r="AL19" s="42">
        <v>0</v>
      </c>
      <c r="AM19" s="32" t="str">
        <f t="shared" si="2"/>
        <v>Ahad: 2%</v>
      </c>
    </row>
    <row r="20" spans="1:39" s="4" customFormat="1" ht="35.1" customHeight="1">
      <c r="A20" s="125"/>
      <c r="B20" s="129"/>
      <c r="C20" s="121"/>
      <c r="D20" s="116" t="s">
        <v>59</v>
      </c>
      <c r="E20" s="116" t="s">
        <v>48</v>
      </c>
      <c r="F20" s="116" t="s">
        <v>49</v>
      </c>
      <c r="G20" s="116"/>
      <c r="H20" s="15" t="s">
        <v>60</v>
      </c>
      <c r="I20" s="117"/>
      <c r="J20" s="117"/>
      <c r="K20" s="116"/>
      <c r="L20" s="116"/>
      <c r="M20" s="39">
        <v>0</v>
      </c>
      <c r="N20" s="39">
        <v>0</v>
      </c>
      <c r="O20" s="40">
        <v>0</v>
      </c>
      <c r="P20" s="41">
        <v>0</v>
      </c>
      <c r="Q20" s="39">
        <v>0.15</v>
      </c>
      <c r="R20" s="39">
        <v>0.15</v>
      </c>
      <c r="S20" s="39">
        <v>0</v>
      </c>
      <c r="T20" s="42">
        <v>0</v>
      </c>
      <c r="U20" s="41">
        <v>0</v>
      </c>
      <c r="V20" s="39">
        <v>0</v>
      </c>
      <c r="W20" s="39">
        <v>0</v>
      </c>
      <c r="X20" s="39">
        <v>0</v>
      </c>
      <c r="Y20" s="40">
        <v>0</v>
      </c>
      <c r="Z20" s="41">
        <v>0</v>
      </c>
      <c r="AA20" s="39">
        <v>0</v>
      </c>
      <c r="AB20" s="39">
        <v>0</v>
      </c>
      <c r="AC20" s="39">
        <v>0</v>
      </c>
      <c r="AD20" s="39">
        <v>0</v>
      </c>
      <c r="AE20" s="40">
        <v>0</v>
      </c>
      <c r="AF20" s="41">
        <v>0</v>
      </c>
      <c r="AG20" s="39">
        <v>0</v>
      </c>
      <c r="AH20" s="39">
        <v>0</v>
      </c>
      <c r="AI20" s="39">
        <v>0</v>
      </c>
      <c r="AJ20" s="39">
        <v>0</v>
      </c>
      <c r="AK20" s="39">
        <v>0</v>
      </c>
      <c r="AL20" s="42">
        <v>0</v>
      </c>
      <c r="AM20" s="32" t="str">
        <f t="shared" si="2"/>
        <v>Arjun: 15%, Ahad: 15%</v>
      </c>
    </row>
    <row r="21" spans="1:39" s="4" customFormat="1" ht="42" customHeight="1">
      <c r="A21" s="125"/>
      <c r="B21" s="129"/>
      <c r="C21" s="121"/>
      <c r="D21" s="116" t="s">
        <v>93</v>
      </c>
      <c r="E21" s="116" t="s">
        <v>65</v>
      </c>
      <c r="F21" s="116" t="s">
        <v>49</v>
      </c>
      <c r="G21" s="52" t="s">
        <v>91</v>
      </c>
      <c r="H21" s="51" t="s">
        <v>94</v>
      </c>
      <c r="I21" s="118"/>
      <c r="J21" s="118"/>
      <c r="K21" s="119"/>
      <c r="L21" s="119"/>
      <c r="M21" s="39">
        <v>0</v>
      </c>
      <c r="N21" s="39">
        <v>0</v>
      </c>
      <c r="O21" s="40">
        <v>0</v>
      </c>
      <c r="P21" s="41">
        <v>0</v>
      </c>
      <c r="Q21" s="39">
        <v>0</v>
      </c>
      <c r="R21" s="39">
        <v>0.2</v>
      </c>
      <c r="S21" s="39">
        <v>0</v>
      </c>
      <c r="T21" s="42">
        <v>0</v>
      </c>
      <c r="U21" s="41">
        <v>0</v>
      </c>
      <c r="V21" s="39">
        <v>0</v>
      </c>
      <c r="W21" s="39">
        <v>0</v>
      </c>
      <c r="X21" s="39">
        <v>0</v>
      </c>
      <c r="Y21" s="40">
        <v>0</v>
      </c>
      <c r="Z21" s="41">
        <v>0</v>
      </c>
      <c r="AA21" s="39">
        <v>0</v>
      </c>
      <c r="AB21" s="39">
        <v>0</v>
      </c>
      <c r="AC21" s="39">
        <v>0</v>
      </c>
      <c r="AD21" s="39">
        <v>0</v>
      </c>
      <c r="AE21" s="40">
        <v>0</v>
      </c>
      <c r="AF21" s="41">
        <v>0</v>
      </c>
      <c r="AG21" s="39">
        <v>0</v>
      </c>
      <c r="AH21" s="39">
        <v>0</v>
      </c>
      <c r="AI21" s="39">
        <v>0</v>
      </c>
      <c r="AJ21" s="39">
        <v>0</v>
      </c>
      <c r="AK21" s="39">
        <v>0</v>
      </c>
      <c r="AL21" s="42">
        <v>0</v>
      </c>
      <c r="AM21" s="32" t="str">
        <f t="shared" si="2"/>
        <v>Ahad: 20%</v>
      </c>
    </row>
    <row r="22" spans="1:39" s="4" customFormat="1" ht="51" customHeight="1">
      <c r="A22" s="126"/>
      <c r="B22" s="130"/>
      <c r="C22" s="122"/>
      <c r="D22" s="14" t="s">
        <v>64</v>
      </c>
      <c r="E22" s="2" t="s">
        <v>65</v>
      </c>
      <c r="F22" s="11" t="s">
        <v>49</v>
      </c>
      <c r="G22" s="119" t="s">
        <v>54</v>
      </c>
      <c r="H22" s="53" t="s">
        <v>66</v>
      </c>
      <c r="I22" s="31"/>
      <c r="J22" s="31"/>
      <c r="K22" s="5"/>
      <c r="L22" s="5"/>
      <c r="M22" s="39">
        <v>0</v>
      </c>
      <c r="N22" s="39">
        <v>0</v>
      </c>
      <c r="O22" s="40">
        <v>0</v>
      </c>
      <c r="P22" s="41">
        <v>0</v>
      </c>
      <c r="Q22" s="39">
        <v>0</v>
      </c>
      <c r="R22" s="39">
        <v>0.2</v>
      </c>
      <c r="S22" s="39">
        <v>0</v>
      </c>
      <c r="T22" s="42">
        <v>0</v>
      </c>
      <c r="U22" s="41">
        <v>0</v>
      </c>
      <c r="V22" s="39">
        <v>0</v>
      </c>
      <c r="W22" s="39">
        <v>0</v>
      </c>
      <c r="X22" s="39">
        <v>0</v>
      </c>
      <c r="Y22" s="40">
        <v>0</v>
      </c>
      <c r="Z22" s="41">
        <v>0</v>
      </c>
      <c r="AA22" s="39">
        <v>0</v>
      </c>
      <c r="AB22" s="39">
        <v>0</v>
      </c>
      <c r="AC22" s="39">
        <v>0</v>
      </c>
      <c r="AD22" s="39">
        <v>0</v>
      </c>
      <c r="AE22" s="40">
        <v>0</v>
      </c>
      <c r="AF22" s="41">
        <v>0</v>
      </c>
      <c r="AG22" s="39">
        <v>0</v>
      </c>
      <c r="AH22" s="39">
        <v>0</v>
      </c>
      <c r="AI22" s="39">
        <v>0</v>
      </c>
      <c r="AJ22" s="39">
        <v>0</v>
      </c>
      <c r="AK22" s="39">
        <v>0</v>
      </c>
      <c r="AL22" s="42">
        <v>0</v>
      </c>
      <c r="AM22" s="32" t="str">
        <f t="shared" si="2"/>
        <v>Ahad: 20%</v>
      </c>
    </row>
    <row r="23" spans="1:39" s="4" customFormat="1" ht="15.95" customHeight="1" thickBot="1">
      <c r="A23" s="127"/>
      <c r="B23" s="131"/>
      <c r="C23" s="123"/>
      <c r="D23" s="161" t="s">
        <v>67</v>
      </c>
      <c r="E23" s="162"/>
      <c r="F23" s="162"/>
      <c r="G23" s="162"/>
      <c r="H23" s="179"/>
      <c r="I23" s="179"/>
      <c r="J23" s="179"/>
      <c r="K23" s="179"/>
      <c r="L23" s="180"/>
      <c r="M23" s="44">
        <f t="shared" ref="M23:AI23" si="4">SUM(M18:M22)</f>
        <v>0</v>
      </c>
      <c r="N23" s="44">
        <f t="shared" si="4"/>
        <v>0</v>
      </c>
      <c r="O23" s="45">
        <f t="shared" si="4"/>
        <v>0</v>
      </c>
      <c r="P23" s="46">
        <f t="shared" si="4"/>
        <v>0</v>
      </c>
      <c r="Q23" s="44">
        <f t="shared" si="4"/>
        <v>0.15</v>
      </c>
      <c r="R23" s="44">
        <f t="shared" si="4"/>
        <v>0.63</v>
      </c>
      <c r="S23" s="44">
        <f t="shared" si="4"/>
        <v>0</v>
      </c>
      <c r="T23" s="47">
        <f t="shared" si="4"/>
        <v>0</v>
      </c>
      <c r="U23" s="46">
        <f t="shared" si="4"/>
        <v>0</v>
      </c>
      <c r="V23" s="44">
        <f t="shared" si="4"/>
        <v>0</v>
      </c>
      <c r="W23" s="44">
        <f t="shared" si="4"/>
        <v>0</v>
      </c>
      <c r="X23" s="44">
        <f t="shared" si="4"/>
        <v>0</v>
      </c>
      <c r="Y23" s="45">
        <f t="shared" si="4"/>
        <v>0</v>
      </c>
      <c r="Z23" s="46">
        <f t="shared" si="4"/>
        <v>0</v>
      </c>
      <c r="AA23" s="44">
        <f t="shared" si="4"/>
        <v>0</v>
      </c>
      <c r="AB23" s="44">
        <f t="shared" si="4"/>
        <v>0</v>
      </c>
      <c r="AC23" s="44">
        <f t="shared" si="4"/>
        <v>0</v>
      </c>
      <c r="AD23" s="44">
        <f t="shared" si="4"/>
        <v>0</v>
      </c>
      <c r="AE23" s="45">
        <f t="shared" si="4"/>
        <v>0</v>
      </c>
      <c r="AF23" s="46">
        <f t="shared" si="4"/>
        <v>0</v>
      </c>
      <c r="AG23" s="44">
        <f t="shared" si="4"/>
        <v>0</v>
      </c>
      <c r="AH23" s="44">
        <f t="shared" si="4"/>
        <v>0</v>
      </c>
      <c r="AI23" s="44">
        <f t="shared" si="4"/>
        <v>0</v>
      </c>
      <c r="AJ23" s="48">
        <v>0</v>
      </c>
      <c r="AK23" s="48">
        <v>0</v>
      </c>
      <c r="AL23" s="47">
        <f>SUM(AL18:AL22)</f>
        <v>0</v>
      </c>
      <c r="AM23" s="32" t="str">
        <f t="shared" si="2"/>
        <v>Arjun: 15%, Ahad: 63%</v>
      </c>
    </row>
    <row r="24" spans="1:39" s="4" customFormat="1" ht="59.25" customHeight="1">
      <c r="A24" s="124" t="s">
        <v>95</v>
      </c>
      <c r="B24" s="128" t="s">
        <v>22</v>
      </c>
      <c r="C24" s="120" t="s">
        <v>46</v>
      </c>
      <c r="D24" s="61" t="s">
        <v>96</v>
      </c>
      <c r="E24" s="61" t="s">
        <v>48</v>
      </c>
      <c r="F24" s="61" t="s">
        <v>53</v>
      </c>
      <c r="G24" s="61" t="s">
        <v>97</v>
      </c>
      <c r="H24" s="50" t="s">
        <v>98</v>
      </c>
      <c r="I24" s="50" t="s">
        <v>99</v>
      </c>
      <c r="J24" s="50"/>
      <c r="K24" s="61"/>
      <c r="L24" s="61"/>
      <c r="M24" s="35">
        <v>0</v>
      </c>
      <c r="N24" s="35">
        <v>0</v>
      </c>
      <c r="O24" s="36">
        <v>0</v>
      </c>
      <c r="P24" s="105">
        <v>0</v>
      </c>
      <c r="Q24" s="106">
        <v>0</v>
      </c>
      <c r="R24" s="106">
        <v>0</v>
      </c>
      <c r="S24" s="106">
        <v>2.5000000000000001E-2</v>
      </c>
      <c r="T24" s="107">
        <v>0</v>
      </c>
      <c r="U24" s="71">
        <v>0</v>
      </c>
      <c r="V24" s="35">
        <v>0</v>
      </c>
      <c r="W24" s="35">
        <v>0</v>
      </c>
      <c r="X24" s="35">
        <v>0</v>
      </c>
      <c r="Y24" s="36">
        <v>0</v>
      </c>
      <c r="Z24" s="37">
        <v>0</v>
      </c>
      <c r="AA24" s="35">
        <v>0</v>
      </c>
      <c r="AB24" s="35">
        <v>0</v>
      </c>
      <c r="AC24" s="35">
        <v>0</v>
      </c>
      <c r="AD24" s="35">
        <v>0</v>
      </c>
      <c r="AE24" s="36">
        <v>0</v>
      </c>
      <c r="AF24" s="37">
        <v>0</v>
      </c>
      <c r="AG24" s="35">
        <v>0</v>
      </c>
      <c r="AH24" s="35">
        <v>0</v>
      </c>
      <c r="AI24" s="35">
        <v>0</v>
      </c>
      <c r="AJ24" s="35">
        <v>0</v>
      </c>
      <c r="AK24" s="35">
        <v>0</v>
      </c>
      <c r="AL24" s="38">
        <v>0</v>
      </c>
      <c r="AM24" s="32" t="str">
        <f t="shared" si="2"/>
        <v>Clark: 3%</v>
      </c>
    </row>
    <row r="25" spans="1:39" s="4" customFormat="1" ht="51.75" customHeight="1">
      <c r="A25" s="125"/>
      <c r="B25" s="129"/>
      <c r="C25" s="121"/>
      <c r="D25" s="52" t="s">
        <v>100</v>
      </c>
      <c r="E25" s="52" t="s">
        <v>48</v>
      </c>
      <c r="F25" s="52" t="s">
        <v>49</v>
      </c>
      <c r="G25" s="52" t="s">
        <v>101</v>
      </c>
      <c r="H25" s="51" t="s">
        <v>102</v>
      </c>
      <c r="I25" s="51"/>
      <c r="J25" s="51"/>
      <c r="K25" s="52"/>
      <c r="L25" s="52"/>
      <c r="M25" s="39">
        <v>0</v>
      </c>
      <c r="N25" s="39">
        <v>0</v>
      </c>
      <c r="O25" s="40">
        <v>0</v>
      </c>
      <c r="P25" s="108">
        <v>0</v>
      </c>
      <c r="Q25" s="39">
        <v>0</v>
      </c>
      <c r="R25" s="39">
        <v>0</v>
      </c>
      <c r="S25" s="39">
        <v>0.1</v>
      </c>
      <c r="T25" s="109">
        <v>0</v>
      </c>
      <c r="U25" s="103">
        <v>0</v>
      </c>
      <c r="V25" s="39">
        <v>0</v>
      </c>
      <c r="W25" s="39">
        <v>0</v>
      </c>
      <c r="X25" s="39">
        <v>0</v>
      </c>
      <c r="Y25" s="40">
        <v>0</v>
      </c>
      <c r="Z25" s="41">
        <v>0</v>
      </c>
      <c r="AA25" s="39">
        <v>0</v>
      </c>
      <c r="AB25" s="39">
        <v>0</v>
      </c>
      <c r="AC25" s="39">
        <v>0</v>
      </c>
      <c r="AD25" s="39">
        <v>0</v>
      </c>
      <c r="AE25" s="40">
        <v>0</v>
      </c>
      <c r="AF25" s="41">
        <v>0</v>
      </c>
      <c r="AG25" s="39">
        <v>0</v>
      </c>
      <c r="AH25" s="39">
        <v>0</v>
      </c>
      <c r="AI25" s="39">
        <v>0</v>
      </c>
      <c r="AJ25" s="39">
        <v>0</v>
      </c>
      <c r="AK25" s="39">
        <v>0</v>
      </c>
      <c r="AL25" s="42">
        <v>0</v>
      </c>
      <c r="AM25" s="32" t="str">
        <f t="shared" si="2"/>
        <v>Clark: 10%</v>
      </c>
    </row>
    <row r="26" spans="1:39" s="4" customFormat="1" ht="81" customHeight="1">
      <c r="A26" s="125"/>
      <c r="B26" s="129"/>
      <c r="C26" s="121"/>
      <c r="D26" s="52" t="s">
        <v>103</v>
      </c>
      <c r="E26" s="52" t="s">
        <v>65</v>
      </c>
      <c r="F26" s="52" t="s">
        <v>49</v>
      </c>
      <c r="G26" s="52" t="s">
        <v>101</v>
      </c>
      <c r="H26" s="51" t="s">
        <v>104</v>
      </c>
      <c r="I26" s="51"/>
      <c r="J26" s="51"/>
      <c r="K26" s="52"/>
      <c r="L26" s="52"/>
      <c r="M26" s="39">
        <v>0</v>
      </c>
      <c r="N26" s="39">
        <v>0</v>
      </c>
      <c r="O26" s="40">
        <v>0</v>
      </c>
      <c r="P26" s="108">
        <v>0</v>
      </c>
      <c r="Q26" s="39">
        <v>0</v>
      </c>
      <c r="R26" s="39">
        <v>0</v>
      </c>
      <c r="S26" s="39">
        <v>0.3</v>
      </c>
      <c r="T26" s="109">
        <v>0</v>
      </c>
      <c r="U26" s="103">
        <v>0</v>
      </c>
      <c r="V26" s="39">
        <v>0</v>
      </c>
      <c r="W26" s="39">
        <v>0</v>
      </c>
      <c r="X26" s="39">
        <v>0</v>
      </c>
      <c r="Y26" s="40">
        <v>0</v>
      </c>
      <c r="Z26" s="41">
        <v>0</v>
      </c>
      <c r="AA26" s="39">
        <v>0</v>
      </c>
      <c r="AB26" s="39">
        <v>0</v>
      </c>
      <c r="AC26" s="39">
        <v>0</v>
      </c>
      <c r="AD26" s="39">
        <v>0</v>
      </c>
      <c r="AE26" s="40">
        <v>0</v>
      </c>
      <c r="AF26" s="41">
        <v>0</v>
      </c>
      <c r="AG26" s="39">
        <v>0</v>
      </c>
      <c r="AH26" s="39">
        <v>0</v>
      </c>
      <c r="AI26" s="39">
        <v>0</v>
      </c>
      <c r="AJ26" s="39">
        <v>0</v>
      </c>
      <c r="AK26" s="39">
        <v>0</v>
      </c>
      <c r="AL26" s="42">
        <v>0</v>
      </c>
      <c r="AM26" s="32" t="str">
        <f t="shared" si="2"/>
        <v>Clark: 30%</v>
      </c>
    </row>
    <row r="27" spans="1:39" s="4" customFormat="1" ht="107.25" customHeight="1">
      <c r="A27" s="125"/>
      <c r="B27" s="129"/>
      <c r="C27" s="121"/>
      <c r="D27" s="52" t="s">
        <v>105</v>
      </c>
      <c r="E27" s="52" t="s">
        <v>65</v>
      </c>
      <c r="F27" s="52" t="s">
        <v>106</v>
      </c>
      <c r="G27" s="52" t="s">
        <v>101</v>
      </c>
      <c r="H27" s="51" t="s">
        <v>107</v>
      </c>
      <c r="I27" s="53"/>
      <c r="J27" s="53"/>
      <c r="K27" s="102"/>
      <c r="L27" s="102"/>
      <c r="M27" s="39">
        <v>0</v>
      </c>
      <c r="N27" s="39">
        <v>0</v>
      </c>
      <c r="O27" s="40">
        <v>0</v>
      </c>
      <c r="P27" s="108">
        <v>0</v>
      </c>
      <c r="Q27" s="39">
        <v>0</v>
      </c>
      <c r="R27" s="39">
        <v>0</v>
      </c>
      <c r="S27" s="39">
        <v>0.4</v>
      </c>
      <c r="T27" s="109">
        <v>0</v>
      </c>
      <c r="U27" s="103">
        <v>0</v>
      </c>
      <c r="V27" s="39">
        <v>0</v>
      </c>
      <c r="W27" s="39">
        <v>0</v>
      </c>
      <c r="X27" s="39">
        <v>0</v>
      </c>
      <c r="Y27" s="40">
        <v>0</v>
      </c>
      <c r="Z27" s="41">
        <v>0</v>
      </c>
      <c r="AA27" s="39">
        <v>0</v>
      </c>
      <c r="AB27" s="39">
        <v>0</v>
      </c>
      <c r="AC27" s="39">
        <v>0</v>
      </c>
      <c r="AD27" s="39">
        <v>0</v>
      </c>
      <c r="AE27" s="40">
        <v>0</v>
      </c>
      <c r="AF27" s="41">
        <v>0</v>
      </c>
      <c r="AG27" s="39">
        <v>0</v>
      </c>
      <c r="AH27" s="39">
        <v>0</v>
      </c>
      <c r="AI27" s="39">
        <v>0</v>
      </c>
      <c r="AJ27" s="39">
        <v>0</v>
      </c>
      <c r="AK27" s="39">
        <v>0</v>
      </c>
      <c r="AL27" s="42">
        <v>0</v>
      </c>
      <c r="AM27" s="32" t="str">
        <f t="shared" si="2"/>
        <v>Clark: 40%</v>
      </c>
    </row>
    <row r="28" spans="1:39" s="4" customFormat="1" ht="83.25" customHeight="1">
      <c r="A28" s="126"/>
      <c r="B28" s="130"/>
      <c r="C28" s="122"/>
      <c r="D28" s="14" t="s">
        <v>108</v>
      </c>
      <c r="E28" s="2" t="s">
        <v>48</v>
      </c>
      <c r="F28" s="11" t="s">
        <v>106</v>
      </c>
      <c r="G28" s="102" t="s">
        <v>101</v>
      </c>
      <c r="H28" s="53" t="s">
        <v>109</v>
      </c>
      <c r="I28" s="31"/>
      <c r="J28" s="31"/>
      <c r="K28" s="5"/>
      <c r="L28" s="5"/>
      <c r="M28" s="39">
        <v>0</v>
      </c>
      <c r="N28" s="39">
        <v>0</v>
      </c>
      <c r="O28" s="40">
        <v>0</v>
      </c>
      <c r="P28" s="108">
        <v>0</v>
      </c>
      <c r="Q28" s="39">
        <v>0</v>
      </c>
      <c r="R28" s="39">
        <v>0</v>
      </c>
      <c r="S28" s="39">
        <v>0.4</v>
      </c>
      <c r="T28" s="109">
        <v>0</v>
      </c>
      <c r="U28" s="103">
        <v>0</v>
      </c>
      <c r="V28" s="39">
        <v>0</v>
      </c>
      <c r="W28" s="39">
        <v>0</v>
      </c>
      <c r="X28" s="39">
        <v>0</v>
      </c>
      <c r="Y28" s="40">
        <v>0</v>
      </c>
      <c r="Z28" s="41">
        <v>0</v>
      </c>
      <c r="AA28" s="39">
        <v>0</v>
      </c>
      <c r="AB28" s="39">
        <v>0</v>
      </c>
      <c r="AC28" s="39">
        <v>0</v>
      </c>
      <c r="AD28" s="39">
        <v>0</v>
      </c>
      <c r="AE28" s="40">
        <v>0</v>
      </c>
      <c r="AF28" s="41">
        <v>0</v>
      </c>
      <c r="AG28" s="39">
        <v>0</v>
      </c>
      <c r="AH28" s="39">
        <v>0</v>
      </c>
      <c r="AI28" s="39">
        <v>0</v>
      </c>
      <c r="AJ28" s="39">
        <v>0</v>
      </c>
      <c r="AK28" s="39">
        <v>0</v>
      </c>
      <c r="AL28" s="42">
        <v>0</v>
      </c>
      <c r="AM28" s="32" t="str">
        <f t="shared" si="2"/>
        <v>Clark: 40%</v>
      </c>
    </row>
    <row r="29" spans="1:39" s="4" customFormat="1" ht="15.95" customHeight="1" thickBot="1">
      <c r="A29" s="127"/>
      <c r="B29" s="131"/>
      <c r="C29" s="123"/>
      <c r="D29" s="161" t="s">
        <v>67</v>
      </c>
      <c r="E29" s="162"/>
      <c r="F29" s="162"/>
      <c r="G29" s="162"/>
      <c r="H29" s="179"/>
      <c r="I29" s="179"/>
      <c r="J29" s="179"/>
      <c r="K29" s="179"/>
      <c r="L29" s="180"/>
      <c r="M29" s="44">
        <f t="shared" ref="M29:AI29" si="5">SUM(M24:M28)</f>
        <v>0</v>
      </c>
      <c r="N29" s="44">
        <f t="shared" si="5"/>
        <v>0</v>
      </c>
      <c r="O29" s="45">
        <f t="shared" si="5"/>
        <v>0</v>
      </c>
      <c r="P29" s="110">
        <f t="shared" si="5"/>
        <v>0</v>
      </c>
      <c r="Q29" s="111">
        <f t="shared" si="5"/>
        <v>0</v>
      </c>
      <c r="R29" s="111">
        <f t="shared" si="5"/>
        <v>0</v>
      </c>
      <c r="S29" s="111">
        <f t="shared" si="5"/>
        <v>1.2250000000000001</v>
      </c>
      <c r="T29" s="112">
        <f t="shared" si="5"/>
        <v>0</v>
      </c>
      <c r="U29" s="104">
        <f t="shared" si="5"/>
        <v>0</v>
      </c>
      <c r="V29" s="44">
        <f t="shared" si="5"/>
        <v>0</v>
      </c>
      <c r="W29" s="44">
        <f t="shared" si="5"/>
        <v>0</v>
      </c>
      <c r="X29" s="44">
        <f t="shared" si="5"/>
        <v>0</v>
      </c>
      <c r="Y29" s="45">
        <f t="shared" si="5"/>
        <v>0</v>
      </c>
      <c r="Z29" s="46">
        <f t="shared" si="5"/>
        <v>0</v>
      </c>
      <c r="AA29" s="44">
        <f t="shared" si="5"/>
        <v>0</v>
      </c>
      <c r="AB29" s="44">
        <f t="shared" si="5"/>
        <v>0</v>
      </c>
      <c r="AC29" s="44">
        <f t="shared" si="5"/>
        <v>0</v>
      </c>
      <c r="AD29" s="44">
        <f t="shared" si="5"/>
        <v>0</v>
      </c>
      <c r="AE29" s="45">
        <f t="shared" si="5"/>
        <v>0</v>
      </c>
      <c r="AF29" s="46">
        <f t="shared" si="5"/>
        <v>0</v>
      </c>
      <c r="AG29" s="44">
        <f t="shared" si="5"/>
        <v>0</v>
      </c>
      <c r="AH29" s="44">
        <f t="shared" si="5"/>
        <v>0</v>
      </c>
      <c r="AI29" s="44">
        <f t="shared" si="5"/>
        <v>0</v>
      </c>
      <c r="AJ29" s="48">
        <v>0</v>
      </c>
      <c r="AK29" s="48">
        <v>0</v>
      </c>
      <c r="AL29" s="47">
        <f>SUM(AL24:AL28)</f>
        <v>0</v>
      </c>
      <c r="AM29" s="32" t="str">
        <f t="shared" si="2"/>
        <v>Clark: 123%</v>
      </c>
    </row>
    <row r="30" spans="1:39" s="4" customFormat="1" ht="84" customHeight="1">
      <c r="A30" s="168" t="s">
        <v>110</v>
      </c>
      <c r="B30" s="169" t="s">
        <v>22</v>
      </c>
      <c r="C30" s="182" t="s">
        <v>46</v>
      </c>
      <c r="D30" s="99" t="s">
        <v>111</v>
      </c>
      <c r="E30" s="11" t="s">
        <v>48</v>
      </c>
      <c r="F30" s="11" t="s">
        <v>53</v>
      </c>
      <c r="G30" s="2" t="s">
        <v>112</v>
      </c>
      <c r="H30" s="100" t="s">
        <v>113</v>
      </c>
      <c r="I30" s="51"/>
      <c r="J30" s="51"/>
      <c r="K30" s="52"/>
      <c r="L30" s="52"/>
      <c r="M30" s="94"/>
      <c r="N30" s="95"/>
      <c r="O30" s="96"/>
      <c r="P30" s="97">
        <v>0.05</v>
      </c>
      <c r="Q30" s="95"/>
      <c r="R30" s="95"/>
      <c r="S30" s="95"/>
      <c r="T30" s="98"/>
      <c r="U30" s="97"/>
      <c r="V30" s="95"/>
      <c r="W30" s="95"/>
      <c r="X30" s="95"/>
      <c r="Y30" s="96"/>
      <c r="Z30" s="97"/>
      <c r="AA30" s="95"/>
      <c r="AB30" s="95"/>
      <c r="AC30" s="95"/>
      <c r="AD30" s="95"/>
      <c r="AE30" s="96"/>
      <c r="AF30" s="97"/>
      <c r="AG30" s="95"/>
      <c r="AH30" s="95"/>
      <c r="AI30" s="95"/>
      <c r="AJ30" s="95"/>
      <c r="AK30" s="95"/>
      <c r="AL30" s="98"/>
      <c r="AM30" s="32"/>
    </row>
    <row r="31" spans="1:39" s="4" customFormat="1" ht="84" customHeight="1">
      <c r="A31" s="168"/>
      <c r="B31" s="169"/>
      <c r="C31" s="182"/>
      <c r="D31" s="99" t="s">
        <v>114</v>
      </c>
      <c r="E31" s="11" t="s">
        <v>48</v>
      </c>
      <c r="F31" s="11" t="s">
        <v>53</v>
      </c>
      <c r="G31" s="2" t="s">
        <v>115</v>
      </c>
      <c r="H31" s="100" t="s">
        <v>116</v>
      </c>
      <c r="I31" s="51"/>
      <c r="J31" s="51"/>
      <c r="K31" s="52"/>
      <c r="L31" s="52"/>
      <c r="M31" s="94"/>
      <c r="N31" s="95"/>
      <c r="O31" s="96"/>
      <c r="P31" s="97">
        <v>0.04</v>
      </c>
      <c r="Q31" s="95"/>
      <c r="R31" s="95"/>
      <c r="S31" s="95"/>
      <c r="T31" s="98"/>
      <c r="U31" s="97"/>
      <c r="V31" s="95"/>
      <c r="W31" s="95"/>
      <c r="X31" s="95"/>
      <c r="Y31" s="96"/>
      <c r="Z31" s="97"/>
      <c r="AA31" s="95"/>
      <c r="AB31" s="95"/>
      <c r="AC31" s="95"/>
      <c r="AD31" s="95"/>
      <c r="AE31" s="96"/>
      <c r="AF31" s="97"/>
      <c r="AG31" s="95"/>
      <c r="AH31" s="95"/>
      <c r="AI31" s="95"/>
      <c r="AJ31" s="95"/>
      <c r="AK31" s="95"/>
      <c r="AL31" s="98"/>
      <c r="AM31" s="32"/>
    </row>
    <row r="32" spans="1:39" s="4" customFormat="1" ht="87" customHeight="1">
      <c r="A32" s="168"/>
      <c r="B32" s="169"/>
      <c r="C32" s="182"/>
      <c r="D32" s="17" t="s">
        <v>117</v>
      </c>
      <c r="E32" s="16" t="s">
        <v>48</v>
      </c>
      <c r="F32" s="16" t="s">
        <v>49</v>
      </c>
      <c r="G32" s="101" t="s">
        <v>112</v>
      </c>
      <c r="H32" s="51" t="s">
        <v>118</v>
      </c>
      <c r="I32" s="51"/>
      <c r="J32" s="51"/>
      <c r="K32" s="52"/>
      <c r="L32" s="52"/>
      <c r="M32" s="82">
        <v>0</v>
      </c>
      <c r="N32" s="83">
        <v>0</v>
      </c>
      <c r="O32" s="84">
        <v>0</v>
      </c>
      <c r="P32" s="85">
        <v>0.15</v>
      </c>
      <c r="Q32" s="83">
        <v>0</v>
      </c>
      <c r="R32" s="83">
        <v>0</v>
      </c>
      <c r="S32" s="83">
        <v>0</v>
      </c>
      <c r="T32" s="86">
        <v>0</v>
      </c>
      <c r="U32" s="85">
        <v>0</v>
      </c>
      <c r="V32" s="83">
        <v>0</v>
      </c>
      <c r="W32" s="83">
        <v>0</v>
      </c>
      <c r="X32" s="83">
        <v>0</v>
      </c>
      <c r="Y32" s="84">
        <v>0</v>
      </c>
      <c r="Z32" s="85">
        <v>0</v>
      </c>
      <c r="AA32" s="83">
        <v>0</v>
      </c>
      <c r="AB32" s="83">
        <v>0</v>
      </c>
      <c r="AC32" s="83">
        <v>0</v>
      </c>
      <c r="AD32" s="83">
        <v>0</v>
      </c>
      <c r="AE32" s="84">
        <v>0</v>
      </c>
      <c r="AF32" s="85">
        <v>0</v>
      </c>
      <c r="AG32" s="83">
        <v>0</v>
      </c>
      <c r="AH32" s="83">
        <v>0</v>
      </c>
      <c r="AI32" s="83">
        <v>0</v>
      </c>
      <c r="AJ32" s="83">
        <v>0</v>
      </c>
      <c r="AK32" s="83">
        <v>0</v>
      </c>
      <c r="AL32" s="86">
        <v>0</v>
      </c>
      <c r="AM32" s="32"/>
    </row>
    <row r="33" spans="1:39" s="4" customFormat="1" ht="84.95" customHeight="1">
      <c r="A33" s="168"/>
      <c r="B33" s="169"/>
      <c r="C33" s="182"/>
      <c r="D33" s="52" t="s">
        <v>119</v>
      </c>
      <c r="E33" s="5" t="s">
        <v>48</v>
      </c>
      <c r="F33" s="5" t="s">
        <v>49</v>
      </c>
      <c r="G33" s="93" t="s">
        <v>112</v>
      </c>
      <c r="H33" s="51" t="s">
        <v>120</v>
      </c>
      <c r="I33" s="51"/>
      <c r="J33" s="51"/>
      <c r="K33" s="52"/>
      <c r="L33" s="52"/>
      <c r="M33" s="82">
        <v>0</v>
      </c>
      <c r="N33" s="83">
        <v>0</v>
      </c>
      <c r="O33" s="84">
        <v>0</v>
      </c>
      <c r="P33" s="85">
        <v>0.1</v>
      </c>
      <c r="Q33" s="83">
        <v>0</v>
      </c>
      <c r="R33" s="83">
        <v>0.1</v>
      </c>
      <c r="S33" s="83">
        <v>0</v>
      </c>
      <c r="T33" s="86">
        <v>0</v>
      </c>
      <c r="U33" s="85">
        <v>0</v>
      </c>
      <c r="V33" s="83">
        <v>0</v>
      </c>
      <c r="W33" s="83">
        <v>0</v>
      </c>
      <c r="X33" s="83">
        <v>0</v>
      </c>
      <c r="Y33" s="84">
        <v>0</v>
      </c>
      <c r="Z33" s="85">
        <v>0</v>
      </c>
      <c r="AA33" s="83">
        <v>0</v>
      </c>
      <c r="AB33" s="83">
        <v>0</v>
      </c>
      <c r="AC33" s="83">
        <v>0</v>
      </c>
      <c r="AD33" s="83">
        <v>0</v>
      </c>
      <c r="AE33" s="84">
        <v>0</v>
      </c>
      <c r="AF33" s="85">
        <v>0</v>
      </c>
      <c r="AG33" s="83">
        <v>0</v>
      </c>
      <c r="AH33" s="83">
        <v>0</v>
      </c>
      <c r="AI33" s="83">
        <v>0</v>
      </c>
      <c r="AJ33" s="83">
        <v>0</v>
      </c>
      <c r="AK33" s="83">
        <v>0</v>
      </c>
      <c r="AL33" s="86">
        <v>0</v>
      </c>
      <c r="AM33" s="32"/>
    </row>
    <row r="34" spans="1:39" s="4" customFormat="1" ht="86.25" customHeight="1">
      <c r="A34" s="168"/>
      <c r="B34" s="169"/>
      <c r="C34" s="182"/>
      <c r="D34" s="52" t="s">
        <v>121</v>
      </c>
      <c r="E34" s="52" t="s">
        <v>48</v>
      </c>
      <c r="F34" s="52" t="s">
        <v>49</v>
      </c>
      <c r="G34" s="52" t="s">
        <v>112</v>
      </c>
      <c r="H34" s="51" t="s">
        <v>66</v>
      </c>
      <c r="I34" s="51"/>
      <c r="J34" s="51"/>
      <c r="K34" s="52"/>
      <c r="L34" s="72"/>
      <c r="M34" s="82">
        <v>0</v>
      </c>
      <c r="N34" s="83">
        <v>0</v>
      </c>
      <c r="O34" s="84">
        <v>0</v>
      </c>
      <c r="P34" s="85">
        <v>0.2</v>
      </c>
      <c r="Q34" s="83">
        <v>0</v>
      </c>
      <c r="R34" s="83">
        <v>0</v>
      </c>
      <c r="S34" s="83"/>
      <c r="T34" s="86"/>
      <c r="U34" s="85">
        <v>0</v>
      </c>
      <c r="V34" s="83"/>
      <c r="W34" s="83">
        <v>0</v>
      </c>
      <c r="X34" s="83">
        <v>0</v>
      </c>
      <c r="Y34" s="84">
        <v>0</v>
      </c>
      <c r="Z34" s="85">
        <v>0</v>
      </c>
      <c r="AA34" s="83">
        <v>0</v>
      </c>
      <c r="AB34" s="83">
        <v>0</v>
      </c>
      <c r="AC34" s="83">
        <v>0</v>
      </c>
      <c r="AD34" s="83">
        <v>0</v>
      </c>
      <c r="AE34" s="84">
        <v>0</v>
      </c>
      <c r="AF34" s="85">
        <v>0</v>
      </c>
      <c r="AG34" s="83">
        <v>0</v>
      </c>
      <c r="AH34" s="83">
        <v>0</v>
      </c>
      <c r="AI34" s="83">
        <v>0</v>
      </c>
      <c r="AJ34" s="83">
        <v>0</v>
      </c>
      <c r="AK34" s="83">
        <v>0</v>
      </c>
      <c r="AL34" s="86">
        <v>0</v>
      </c>
      <c r="AM34" s="32" t="str">
        <f t="shared" ref="AM34:AM39" si="6">_xlfn.TEXTJOIN(", ",TRUE,
  IF(M34&gt;0,M$3&amp;": "&amp;TEXT(M34,"0%"),""),
  IF(N34&gt;0,N$3&amp;": "&amp;TEXT(N34,"0%"),""),
  IF(O34&gt;0,O$3&amp;": "&amp;TEXT(O34,"0%"),""),
  IF(P34&gt;0,P$3&amp;": "&amp;TEXT(P34,"0%"),""),
  IF(Q34&gt;0,Q$3&amp;": "&amp;TEXT(Q34,"0%"),""),
  IF(R34&gt;0,R$3&amp;": "&amp;TEXT(R34,"0%"),""),
  IF(S34&gt;0,S$3&amp;": "&amp;TEXT(S34,"0%"),""),
  IF(T34&gt;0,T$3&amp;": "&amp;TEXT(T34,"0%"),""),
  IF(U34&gt;0,U$3&amp;": "&amp;TEXT(U34,"0%"),""),
  IF(V34&gt;0,V$3&amp;": "&amp;TEXT(V34,"0%"),""),
  IF(W34&gt;0,W$3&amp;": "&amp;TEXT(W34,"0%"),""),
  IF(X34&gt;0,X$3&amp;": "&amp;TEXT(X34,"0%"),""),
  IF(Y34&gt;0,Y$3&amp;": "&amp;TEXT(Y34,"0%"),""),
  IF(Z34&gt;0,Z$3&amp;": "&amp;TEXT(Z34,"0%"),""),
  IF(AA34&gt;0,AA$3&amp;": "&amp;TEXT(AA34,"0%"),""),
  IF(AB34&gt;0,AB$3&amp;": "&amp;TEXT(AB34,"0%"),""),
  IF(AC34&gt;0,AC$3&amp;": "&amp;TEXT(AC34,"0%"),""),
  IF(AD34&gt;0,AD$3&amp;": "&amp;TEXT(AD34,"0%"),""),
  IF(AE34&gt;0,AE$3&amp;": "&amp;TEXT(AE34,"0%"),""),
  IF(AF34&gt;0,AF$3&amp;": "&amp;TEXT(AF34,"0%"),""),
  IF(AG34&gt;0,AG$3&amp;": "&amp;TEXT(AG34,"0%"),""),
  IF(AH34&gt;0,AH$3&amp;": "&amp;TEXT(AH34,"0%"),""),
  IF(AI34&gt;0,AI$3&amp;": "&amp;TEXT(AI34,"0%"),""),
  IF(AL34&gt;0,AL$3&amp;": "&amp;TEXT(AL34,"0%"),"")
)</f>
        <v>Arielle: 20%</v>
      </c>
    </row>
    <row r="35" spans="1:39" s="4" customFormat="1" ht="20.100000000000001" customHeight="1" thickBot="1">
      <c r="A35" s="170"/>
      <c r="B35" s="171"/>
      <c r="C35" s="171"/>
      <c r="D35" s="183" t="s">
        <v>67</v>
      </c>
      <c r="E35" s="184"/>
      <c r="F35" s="184"/>
      <c r="G35" s="184"/>
      <c r="H35" s="162"/>
      <c r="I35" s="162"/>
      <c r="J35" s="162"/>
      <c r="K35" s="162"/>
      <c r="L35" s="163"/>
      <c r="M35" s="87">
        <f>SUM(M30:M34)</f>
        <v>0</v>
      </c>
      <c r="N35" s="87">
        <f>SUM(N30:N34)</f>
        <v>0</v>
      </c>
      <c r="O35" s="88">
        <f>SUM(O30:O34)</f>
        <v>0</v>
      </c>
      <c r="P35" s="89">
        <f>SUM(P30:P34)</f>
        <v>0.54</v>
      </c>
      <c r="Q35" s="87">
        <f>SUM(Q30:Q34)</f>
        <v>0</v>
      </c>
      <c r="R35" s="87">
        <f>SUM(R30:R34)</f>
        <v>0.1</v>
      </c>
      <c r="S35" s="87">
        <f>SUM(S30:S34)</f>
        <v>0</v>
      </c>
      <c r="T35" s="90">
        <f>SUM(T30:T34)</f>
        <v>0</v>
      </c>
      <c r="U35" s="89">
        <f>SUM(U30:U34)</f>
        <v>0</v>
      </c>
      <c r="V35" s="87">
        <f>SUM(V30:V34)</f>
        <v>0</v>
      </c>
      <c r="W35" s="87">
        <f>SUM(W30:W34)</f>
        <v>0</v>
      </c>
      <c r="X35" s="87">
        <f>SUM(X30:X34)</f>
        <v>0</v>
      </c>
      <c r="Y35" s="88">
        <f>SUM(Y30:Y34)</f>
        <v>0</v>
      </c>
      <c r="Z35" s="89">
        <f>SUM(Z30:Z34)</f>
        <v>0</v>
      </c>
      <c r="AA35" s="87">
        <f>SUM(AA30:AA34)</f>
        <v>0</v>
      </c>
      <c r="AB35" s="87">
        <f>SUM(AB30:AB34)</f>
        <v>0</v>
      </c>
      <c r="AC35" s="87">
        <f>SUM(AC30:AC34)</f>
        <v>0</v>
      </c>
      <c r="AD35" s="87">
        <f>SUM(AD30:AD34)</f>
        <v>0</v>
      </c>
      <c r="AE35" s="88">
        <f>SUM(AE30:AE34)</f>
        <v>0</v>
      </c>
      <c r="AF35" s="89">
        <f>SUM(AF30:AF34)</f>
        <v>0</v>
      </c>
      <c r="AG35" s="87">
        <f>SUM(AG30:AG34)</f>
        <v>0</v>
      </c>
      <c r="AH35" s="87">
        <f>SUM(AH30:AH34)</f>
        <v>0</v>
      </c>
      <c r="AI35" s="87">
        <f>SUM(AI30:AI34)</f>
        <v>0</v>
      </c>
      <c r="AJ35" s="92">
        <f>SUM(AJ30:AJ34)</f>
        <v>0</v>
      </c>
      <c r="AK35" s="92">
        <f>SUM(AK30:AK34)</f>
        <v>0</v>
      </c>
      <c r="AL35" s="90">
        <f>SUM(AL30:AL34)</f>
        <v>0</v>
      </c>
      <c r="AM35" s="32" t="str">
        <f t="shared" si="6"/>
        <v>Arielle: 54%, Ahad: 10%</v>
      </c>
    </row>
    <row r="36" spans="1:39" s="4" customFormat="1" ht="195" customHeight="1">
      <c r="A36" s="167" t="s">
        <v>122</v>
      </c>
      <c r="B36" s="130" t="s">
        <v>32</v>
      </c>
      <c r="C36" s="172" t="s">
        <v>46</v>
      </c>
      <c r="D36" s="52" t="s">
        <v>123</v>
      </c>
      <c r="E36" s="52" t="s">
        <v>48</v>
      </c>
      <c r="F36" s="52" t="s">
        <v>124</v>
      </c>
      <c r="G36" s="52"/>
      <c r="H36" s="51" t="s">
        <v>125</v>
      </c>
      <c r="I36" s="51"/>
      <c r="J36" s="51"/>
      <c r="K36" s="52"/>
      <c r="L36" s="72"/>
      <c r="M36" s="77">
        <v>0</v>
      </c>
      <c r="N36" s="78">
        <v>0</v>
      </c>
      <c r="O36" s="79">
        <v>0</v>
      </c>
      <c r="P36" s="80">
        <v>0</v>
      </c>
      <c r="Q36" s="78">
        <v>0</v>
      </c>
      <c r="R36" s="78">
        <v>0</v>
      </c>
      <c r="S36" s="78">
        <v>0</v>
      </c>
      <c r="T36" s="81">
        <v>0</v>
      </c>
      <c r="U36" s="80">
        <v>0</v>
      </c>
      <c r="V36" s="78">
        <v>0</v>
      </c>
      <c r="W36" s="78">
        <v>0</v>
      </c>
      <c r="X36" s="78">
        <v>0</v>
      </c>
      <c r="Y36" s="79">
        <v>0</v>
      </c>
      <c r="Z36" s="80">
        <v>0.6</v>
      </c>
      <c r="AA36" s="78">
        <v>0</v>
      </c>
      <c r="AB36" s="78">
        <v>0.2</v>
      </c>
      <c r="AC36" s="78">
        <v>0.4</v>
      </c>
      <c r="AD36" s="78">
        <v>0</v>
      </c>
      <c r="AE36" s="79">
        <v>0</v>
      </c>
      <c r="AF36" s="80">
        <v>0</v>
      </c>
      <c r="AG36" s="78">
        <v>0</v>
      </c>
      <c r="AH36" s="78">
        <v>0</v>
      </c>
      <c r="AI36" s="78">
        <v>0</v>
      </c>
      <c r="AJ36" s="78">
        <v>0</v>
      </c>
      <c r="AK36" s="78">
        <v>0</v>
      </c>
      <c r="AL36" s="81">
        <v>0</v>
      </c>
      <c r="AM36" s="32" t="str">
        <f t="shared" si="6"/>
        <v>Saskia: 60%, Dan: 20%, Suyee: 40%</v>
      </c>
    </row>
    <row r="37" spans="1:39" s="4" customFormat="1" ht="54" customHeight="1">
      <c r="A37" s="168"/>
      <c r="B37" s="169"/>
      <c r="C37" s="173"/>
      <c r="D37" s="52" t="s">
        <v>126</v>
      </c>
      <c r="E37" s="52" t="s">
        <v>48</v>
      </c>
      <c r="F37" s="52" t="s">
        <v>124</v>
      </c>
      <c r="G37" s="52"/>
      <c r="H37" s="51" t="s">
        <v>127</v>
      </c>
      <c r="I37" s="51" t="s">
        <v>128</v>
      </c>
      <c r="J37" s="51"/>
      <c r="K37" s="52"/>
      <c r="L37" s="72"/>
      <c r="M37" s="82">
        <v>0</v>
      </c>
      <c r="N37" s="83">
        <v>0</v>
      </c>
      <c r="O37" s="84">
        <v>0</v>
      </c>
      <c r="P37" s="85">
        <v>0</v>
      </c>
      <c r="Q37" s="83">
        <v>0</v>
      </c>
      <c r="R37" s="83">
        <v>0</v>
      </c>
      <c r="S37" s="83">
        <v>0</v>
      </c>
      <c r="T37" s="86">
        <v>0</v>
      </c>
      <c r="U37" s="85">
        <v>0</v>
      </c>
      <c r="V37" s="83">
        <v>0</v>
      </c>
      <c r="W37" s="83">
        <v>0</v>
      </c>
      <c r="X37" s="83">
        <v>0</v>
      </c>
      <c r="Y37" s="86">
        <v>0</v>
      </c>
      <c r="Z37" s="85">
        <v>0.1</v>
      </c>
      <c r="AA37" s="83">
        <v>0</v>
      </c>
      <c r="AB37" s="83">
        <v>0</v>
      </c>
      <c r="AC37" s="83">
        <v>0</v>
      </c>
      <c r="AD37" s="83">
        <v>0</v>
      </c>
      <c r="AE37" s="84">
        <v>0.7</v>
      </c>
      <c r="AF37" s="85">
        <v>0</v>
      </c>
      <c r="AG37" s="83">
        <v>0</v>
      </c>
      <c r="AH37" s="83">
        <v>0</v>
      </c>
      <c r="AI37" s="83">
        <v>0</v>
      </c>
      <c r="AJ37" s="83">
        <v>0</v>
      </c>
      <c r="AK37" s="83">
        <v>0</v>
      </c>
      <c r="AL37" s="86">
        <v>0</v>
      </c>
      <c r="AM37" s="32" t="str">
        <f t="shared" si="6"/>
        <v>Saskia: 10%, Sreya: 70%</v>
      </c>
    </row>
    <row r="38" spans="1:39" s="4" customFormat="1" ht="36" customHeight="1">
      <c r="A38" s="168"/>
      <c r="B38" s="169"/>
      <c r="C38" s="173"/>
      <c r="D38" s="52" t="s">
        <v>129</v>
      </c>
      <c r="E38" s="52" t="s">
        <v>65</v>
      </c>
      <c r="F38" s="52" t="s">
        <v>130</v>
      </c>
      <c r="G38" s="52"/>
      <c r="H38" s="51" t="s">
        <v>131</v>
      </c>
      <c r="I38" s="51"/>
      <c r="J38" s="51"/>
      <c r="K38" s="52"/>
      <c r="L38" s="72"/>
      <c r="M38" s="82">
        <v>0</v>
      </c>
      <c r="N38" s="83">
        <v>0</v>
      </c>
      <c r="O38" s="84">
        <v>0</v>
      </c>
      <c r="P38" s="85">
        <v>0</v>
      </c>
      <c r="Q38" s="83">
        <v>0</v>
      </c>
      <c r="R38" s="83">
        <v>0</v>
      </c>
      <c r="S38" s="83">
        <v>0</v>
      </c>
      <c r="T38" s="86">
        <v>0</v>
      </c>
      <c r="U38" s="85">
        <v>0</v>
      </c>
      <c r="V38" s="83">
        <v>0</v>
      </c>
      <c r="W38" s="83">
        <v>0</v>
      </c>
      <c r="X38" s="83">
        <v>0</v>
      </c>
      <c r="Y38" s="86">
        <v>0</v>
      </c>
      <c r="Z38" s="85">
        <v>0</v>
      </c>
      <c r="AA38" s="83">
        <v>0</v>
      </c>
      <c r="AB38" s="83">
        <v>0</v>
      </c>
      <c r="AC38" s="83">
        <v>0</v>
      </c>
      <c r="AD38" s="83">
        <v>0</v>
      </c>
      <c r="AE38" s="84">
        <v>0.3</v>
      </c>
      <c r="AF38" s="85">
        <v>0</v>
      </c>
      <c r="AG38" s="83">
        <v>0</v>
      </c>
      <c r="AH38" s="83">
        <v>0</v>
      </c>
      <c r="AI38" s="83">
        <v>0</v>
      </c>
      <c r="AJ38" s="83">
        <v>0</v>
      </c>
      <c r="AK38" s="83">
        <v>0</v>
      </c>
      <c r="AL38" s="86">
        <v>0</v>
      </c>
      <c r="AM38" s="32" t="str">
        <f t="shared" si="6"/>
        <v>Sreya: 30%</v>
      </c>
    </row>
    <row r="39" spans="1:39" s="4" customFormat="1" ht="108.75" customHeight="1">
      <c r="A39" s="168"/>
      <c r="B39" s="169"/>
      <c r="C39" s="173"/>
      <c r="D39" s="52" t="s">
        <v>132</v>
      </c>
      <c r="E39" s="52" t="s">
        <v>48</v>
      </c>
      <c r="F39" s="52" t="s">
        <v>124</v>
      </c>
      <c r="G39" s="52"/>
      <c r="H39" s="51" t="s">
        <v>133</v>
      </c>
      <c r="I39" s="51" t="s">
        <v>134</v>
      </c>
      <c r="J39" s="51"/>
      <c r="K39" s="52"/>
      <c r="L39" s="72"/>
      <c r="M39" s="82">
        <v>0</v>
      </c>
      <c r="N39" s="83">
        <v>0</v>
      </c>
      <c r="O39" s="84">
        <v>0</v>
      </c>
      <c r="P39" s="85">
        <v>0</v>
      </c>
      <c r="Q39" s="83">
        <v>0</v>
      </c>
      <c r="R39" s="83">
        <v>0</v>
      </c>
      <c r="S39" s="83">
        <v>0</v>
      </c>
      <c r="T39" s="86">
        <v>0</v>
      </c>
      <c r="U39" s="85">
        <v>0</v>
      </c>
      <c r="V39" s="83">
        <v>0</v>
      </c>
      <c r="W39" s="83">
        <v>0</v>
      </c>
      <c r="X39" s="83">
        <v>0</v>
      </c>
      <c r="Y39" s="86">
        <v>0</v>
      </c>
      <c r="Z39" s="85">
        <v>0</v>
      </c>
      <c r="AA39" s="83">
        <v>0.1</v>
      </c>
      <c r="AB39" s="83">
        <v>0.8</v>
      </c>
      <c r="AC39" s="83">
        <v>0</v>
      </c>
      <c r="AD39" s="83">
        <v>0</v>
      </c>
      <c r="AE39" s="84">
        <v>0</v>
      </c>
      <c r="AF39" s="85">
        <v>0</v>
      </c>
      <c r="AG39" s="83">
        <v>0</v>
      </c>
      <c r="AH39" s="83">
        <v>0</v>
      </c>
      <c r="AI39" s="83">
        <v>0</v>
      </c>
      <c r="AJ39" s="83">
        <v>0</v>
      </c>
      <c r="AK39" s="83">
        <v>0</v>
      </c>
      <c r="AL39" s="86">
        <v>0</v>
      </c>
      <c r="AM39" s="32" t="str">
        <f t="shared" si="6"/>
        <v>Doug: 10%, Dan: 80%</v>
      </c>
    </row>
    <row r="40" spans="1:39" s="4" customFormat="1" ht="71.099999999999994" customHeight="1">
      <c r="A40" s="168"/>
      <c r="B40" s="169"/>
      <c r="C40" s="173"/>
      <c r="D40" s="52" t="s">
        <v>135</v>
      </c>
      <c r="E40" s="52" t="s">
        <v>48</v>
      </c>
      <c r="F40" s="52" t="s">
        <v>130</v>
      </c>
      <c r="G40" s="52"/>
      <c r="H40" s="51"/>
      <c r="I40" s="51"/>
      <c r="J40" s="51"/>
      <c r="K40" s="52"/>
      <c r="L40" s="72"/>
      <c r="M40" s="82">
        <v>0</v>
      </c>
      <c r="N40" s="83">
        <v>0</v>
      </c>
      <c r="O40" s="84">
        <v>0</v>
      </c>
      <c r="P40" s="85">
        <v>0</v>
      </c>
      <c r="Q40" s="83">
        <v>0</v>
      </c>
      <c r="R40" s="83">
        <v>0</v>
      </c>
      <c r="S40" s="83">
        <v>0</v>
      </c>
      <c r="T40" s="86">
        <v>0</v>
      </c>
      <c r="U40" s="85">
        <v>0</v>
      </c>
      <c r="V40" s="83">
        <v>0</v>
      </c>
      <c r="W40" s="83">
        <v>0</v>
      </c>
      <c r="X40" s="83">
        <v>0</v>
      </c>
      <c r="Y40" s="86">
        <v>0</v>
      </c>
      <c r="Z40" s="66">
        <v>0</v>
      </c>
      <c r="AA40" s="66">
        <v>0</v>
      </c>
      <c r="AB40" s="66">
        <v>0</v>
      </c>
      <c r="AC40" s="66">
        <v>0</v>
      </c>
      <c r="AD40" s="67">
        <v>0.2</v>
      </c>
      <c r="AE40" s="66">
        <v>0</v>
      </c>
      <c r="AF40" s="85">
        <v>0</v>
      </c>
      <c r="AG40" s="83">
        <v>0</v>
      </c>
      <c r="AH40" s="83">
        <v>0</v>
      </c>
      <c r="AI40" s="83">
        <v>0</v>
      </c>
      <c r="AJ40" s="83">
        <v>0</v>
      </c>
      <c r="AK40" s="83">
        <v>0</v>
      </c>
      <c r="AL40" s="86">
        <v>0</v>
      </c>
      <c r="AM40" s="32"/>
    </row>
    <row r="41" spans="1:39" s="4" customFormat="1" ht="71.099999999999994" customHeight="1">
      <c r="A41" s="168"/>
      <c r="B41" s="169"/>
      <c r="C41" s="173"/>
      <c r="D41" s="52" t="s">
        <v>136</v>
      </c>
      <c r="E41" s="52" t="s">
        <v>65</v>
      </c>
      <c r="F41" s="52" t="s">
        <v>130</v>
      </c>
      <c r="G41" s="52"/>
      <c r="H41" s="51" t="s">
        <v>137</v>
      </c>
      <c r="I41" s="51" t="s">
        <v>138</v>
      </c>
      <c r="J41" s="51"/>
      <c r="K41" s="52"/>
      <c r="L41" s="72"/>
      <c r="M41" s="82">
        <v>0</v>
      </c>
      <c r="N41" s="82">
        <v>0</v>
      </c>
      <c r="O41" s="82">
        <v>0</v>
      </c>
      <c r="P41" s="85">
        <v>0</v>
      </c>
      <c r="Q41" s="82">
        <v>0</v>
      </c>
      <c r="R41" s="82">
        <v>0</v>
      </c>
      <c r="S41" s="82">
        <v>0</v>
      </c>
      <c r="T41" s="82">
        <v>0</v>
      </c>
      <c r="U41" s="85">
        <v>0</v>
      </c>
      <c r="V41" s="82">
        <v>0</v>
      </c>
      <c r="W41" s="82">
        <v>0</v>
      </c>
      <c r="X41" s="82">
        <v>0</v>
      </c>
      <c r="Y41" s="82">
        <v>0</v>
      </c>
      <c r="Z41" s="66">
        <v>0.1</v>
      </c>
      <c r="AA41" s="82">
        <v>0</v>
      </c>
      <c r="AB41" s="82">
        <v>0</v>
      </c>
      <c r="AC41" s="82">
        <v>0</v>
      </c>
      <c r="AD41" s="82">
        <v>0</v>
      </c>
      <c r="AE41" s="82">
        <v>0</v>
      </c>
      <c r="AF41" s="85">
        <v>0</v>
      </c>
      <c r="AG41" s="82">
        <v>0</v>
      </c>
      <c r="AH41" s="82">
        <v>0</v>
      </c>
      <c r="AI41" s="82">
        <v>0</v>
      </c>
      <c r="AJ41" s="82">
        <v>0</v>
      </c>
      <c r="AK41" s="82">
        <v>0</v>
      </c>
      <c r="AL41" s="86">
        <v>0</v>
      </c>
      <c r="AM41" s="32"/>
    </row>
    <row r="42" spans="1:39" s="4" customFormat="1" ht="124.5" customHeight="1">
      <c r="A42" s="168"/>
      <c r="B42" s="169"/>
      <c r="C42" s="173"/>
      <c r="D42" s="52" t="s">
        <v>139</v>
      </c>
      <c r="E42" s="52" t="s">
        <v>48</v>
      </c>
      <c r="F42" s="52" t="s">
        <v>124</v>
      </c>
      <c r="G42" s="52"/>
      <c r="H42" s="51" t="s">
        <v>140</v>
      </c>
      <c r="I42" s="51" t="s">
        <v>141</v>
      </c>
      <c r="J42" s="51"/>
      <c r="K42" s="52"/>
      <c r="L42" s="72"/>
      <c r="M42" s="82">
        <v>0</v>
      </c>
      <c r="N42" s="83">
        <v>0</v>
      </c>
      <c r="O42" s="84">
        <v>0</v>
      </c>
      <c r="P42" s="85">
        <v>0</v>
      </c>
      <c r="Q42" s="83">
        <v>0</v>
      </c>
      <c r="R42" s="83">
        <v>0</v>
      </c>
      <c r="S42" s="83">
        <v>0</v>
      </c>
      <c r="T42" s="86">
        <v>0</v>
      </c>
      <c r="U42" s="85">
        <v>0</v>
      </c>
      <c r="V42" s="83">
        <v>0</v>
      </c>
      <c r="W42" s="83">
        <v>0</v>
      </c>
      <c r="X42" s="83">
        <v>0</v>
      </c>
      <c r="Y42" s="86">
        <v>0</v>
      </c>
      <c r="Z42" s="85">
        <v>0</v>
      </c>
      <c r="AA42" s="83">
        <v>0.6</v>
      </c>
      <c r="AB42" s="83">
        <v>0</v>
      </c>
      <c r="AC42" s="83">
        <v>0</v>
      </c>
      <c r="AD42" s="83">
        <v>0.2</v>
      </c>
      <c r="AE42" s="84">
        <v>0</v>
      </c>
      <c r="AF42" s="85">
        <v>0</v>
      </c>
      <c r="AG42" s="83">
        <v>0</v>
      </c>
      <c r="AH42" s="83">
        <v>0</v>
      </c>
      <c r="AI42" s="83">
        <v>0</v>
      </c>
      <c r="AJ42" s="83">
        <v>0</v>
      </c>
      <c r="AK42" s="83">
        <v>0</v>
      </c>
      <c r="AL42" s="86">
        <v>0</v>
      </c>
      <c r="AM42" s="32" t="str">
        <f>_xlfn.TEXTJOIN(", ",TRUE,
  IF(M42&gt;0,M$3&amp;": "&amp;TEXT(M42,"0%"),""),
  IF(N42&gt;0,N$3&amp;": "&amp;TEXT(N42,"0%"),""),
  IF(O42&gt;0,O$3&amp;": "&amp;TEXT(O42,"0%"),""),
  IF(P42&gt;0,P$3&amp;": "&amp;TEXT(P42,"0%"),""),
  IF(Q42&gt;0,Q$3&amp;": "&amp;TEXT(Q42,"0%"),""),
  IF(R42&gt;0,R$3&amp;": "&amp;TEXT(R42,"0%"),""),
  IF(S42&gt;0,S$3&amp;": "&amp;TEXT(S42,"0%"),""),
  IF(T42&gt;0,T$3&amp;": "&amp;TEXT(T42,"0%"),""),
  IF(U42&gt;0,U$3&amp;": "&amp;TEXT(U42,"0%"),""),
  IF(V42&gt;0,V$3&amp;": "&amp;TEXT(V42,"0%"),""),
  IF(W42&gt;0,W$3&amp;": "&amp;TEXT(W42,"0%"),""),
  IF(X42&gt;0,X$3&amp;": "&amp;TEXT(X42,"0%"),""),
  IF(Y42&gt;0,Y$3&amp;": "&amp;TEXT(Y42,"0%"),""),
  IF(Z42&gt;0,Z$3&amp;": "&amp;TEXT(Z42,"0%"),""),
  IF(AA42&gt;0,AA$3&amp;": "&amp;TEXT(AA42,"0%"),""),
  IF(AB42&gt;0,AB$3&amp;": "&amp;TEXT(AB42,"0%"),""),
  IF(AC42&gt;0,AC$3&amp;": "&amp;TEXT(AC42,"0%"),""),
  IF(AD42&gt;0,AD$3&amp;": "&amp;TEXT(AD42,"0%"),""),
  IF(AE42&gt;0,AE$3&amp;": "&amp;TEXT(AE42,"0%"),""),
  IF(AF42&gt;0,AF$3&amp;": "&amp;TEXT(AF42,"0%"),""),
  IF(AG42&gt;0,AG$3&amp;": "&amp;TEXT(AG42,"0%"),""),
  IF(AH42&gt;0,AH$3&amp;": "&amp;TEXT(AH42,"0%"),""),
  IF(AI42&gt;0,AI$3&amp;": "&amp;TEXT(AI42,"0%"),""),
  IF(AL42&gt;0,AL$3&amp;": "&amp;TEXT(AL42,"0%"),"")
)</f>
        <v>Doug: 60%, Tom: 20%</v>
      </c>
    </row>
    <row r="43" spans="1:39" s="4" customFormat="1" ht="66.95" customHeight="1">
      <c r="A43" s="168"/>
      <c r="B43" s="169"/>
      <c r="C43" s="173"/>
      <c r="D43" s="52" t="s">
        <v>142</v>
      </c>
      <c r="E43" s="52" t="s">
        <v>48</v>
      </c>
      <c r="F43" s="52" t="s">
        <v>130</v>
      </c>
      <c r="G43" s="52"/>
      <c r="H43" s="51" t="s">
        <v>143</v>
      </c>
      <c r="I43" s="51" t="s">
        <v>144</v>
      </c>
      <c r="J43" s="51"/>
      <c r="K43" s="52"/>
      <c r="L43" s="72"/>
      <c r="M43" s="82">
        <v>0</v>
      </c>
      <c r="N43" s="83">
        <v>0</v>
      </c>
      <c r="O43" s="84">
        <v>0</v>
      </c>
      <c r="P43" s="85">
        <v>0</v>
      </c>
      <c r="Q43" s="83">
        <v>0</v>
      </c>
      <c r="R43" s="83">
        <v>0</v>
      </c>
      <c r="S43" s="83">
        <v>0</v>
      </c>
      <c r="T43" s="86">
        <v>0</v>
      </c>
      <c r="U43" s="85">
        <v>0</v>
      </c>
      <c r="V43" s="83">
        <v>0</v>
      </c>
      <c r="W43" s="83">
        <v>0</v>
      </c>
      <c r="X43" s="83">
        <v>0</v>
      </c>
      <c r="Y43" s="86">
        <v>0</v>
      </c>
      <c r="Z43" s="85">
        <v>0</v>
      </c>
      <c r="AA43" s="83">
        <v>0</v>
      </c>
      <c r="AB43" s="83">
        <v>0</v>
      </c>
      <c r="AC43" s="83">
        <v>0.3</v>
      </c>
      <c r="AD43" s="83">
        <v>0</v>
      </c>
      <c r="AE43" s="84">
        <v>0</v>
      </c>
      <c r="AF43" s="85">
        <v>0</v>
      </c>
      <c r="AG43" s="83">
        <v>0</v>
      </c>
      <c r="AH43" s="83">
        <v>0</v>
      </c>
      <c r="AI43" s="83">
        <v>0</v>
      </c>
      <c r="AJ43" s="83">
        <v>0</v>
      </c>
      <c r="AK43" s="83">
        <v>0</v>
      </c>
      <c r="AL43" s="86">
        <v>0</v>
      </c>
      <c r="AM43" s="32" t="str">
        <f>_xlfn.TEXTJOIN(", ",TRUE,
  IF(M43&gt;0,M$3&amp;": "&amp;TEXT(M43,"0%"),""),
  IF(N43&gt;0,N$3&amp;": "&amp;TEXT(N43,"0%"),""),
  IF(O43&gt;0,O$3&amp;": "&amp;TEXT(O43,"0%"),""),
  IF(P43&gt;0,P$3&amp;": "&amp;TEXT(P43,"0%"),""),
  IF(Q43&gt;0,Q$3&amp;": "&amp;TEXT(Q43,"0%"),""),
  IF(R43&gt;0,R$3&amp;": "&amp;TEXT(R43,"0%"),""),
  IF(S43&gt;0,S$3&amp;": "&amp;TEXT(S43,"0%"),""),
  IF(T43&gt;0,T$3&amp;": "&amp;TEXT(T43,"0%"),""),
  IF(U43&gt;0,U$3&amp;": "&amp;TEXT(U43,"0%"),""),
  IF(V43&gt;0,V$3&amp;": "&amp;TEXT(V43,"0%"),""),
  IF(W43&gt;0,W$3&amp;": "&amp;TEXT(W43,"0%"),""),
  IF(X43&gt;0,X$3&amp;": "&amp;TEXT(X43,"0%"),""),
  IF(Y43&gt;0,Y$3&amp;": "&amp;TEXT(Y43,"0%"),""),
  IF(Z43&gt;0,Z$3&amp;": "&amp;TEXT(Z43,"0%"),""),
  IF(AA43&gt;0,AA$3&amp;": "&amp;TEXT(AA43,"0%"),""),
  IF(AB43&gt;0,AB$3&amp;": "&amp;TEXT(AB43,"0%"),""),
  IF(AC43&gt;0,AC$3&amp;": "&amp;TEXT(AC43,"0%"),""),
  IF(AD43&gt;0,AD$3&amp;": "&amp;TEXT(AD43,"0%"),""),
  IF(AE43&gt;0,AE$3&amp;": "&amp;TEXT(AE43,"0%"),""),
  IF(AF43&gt;0,AF$3&amp;": "&amp;TEXT(AF43,"0%"),""),
  IF(AG43&gt;0,AG$3&amp;": "&amp;TEXT(AG43,"0%"),""),
  IF(AH43&gt;0,AH$3&amp;": "&amp;TEXT(AH43,"0%"),""),
  IF(AI43&gt;0,AI$3&amp;": "&amp;TEXT(AI43,"0%"),""),
  IF(AL43&gt;0,AL$3&amp;": "&amp;TEXT(AL43,"0%"),"")
)</f>
        <v>Suyee: 30%</v>
      </c>
    </row>
    <row r="44" spans="1:39" s="4" customFormat="1" ht="145.5" customHeight="1">
      <c r="A44" s="168"/>
      <c r="B44" s="169"/>
      <c r="C44" s="173"/>
      <c r="D44" s="52" t="s">
        <v>145</v>
      </c>
      <c r="E44" s="52" t="s">
        <v>48</v>
      </c>
      <c r="F44" s="52" t="s">
        <v>124</v>
      </c>
      <c r="G44" s="52"/>
      <c r="H44" s="51" t="s">
        <v>146</v>
      </c>
      <c r="I44" s="51" t="s">
        <v>147</v>
      </c>
      <c r="J44" s="51"/>
      <c r="K44" s="52"/>
      <c r="L44" s="72"/>
      <c r="M44" s="82">
        <v>0</v>
      </c>
      <c r="N44" s="83">
        <v>0</v>
      </c>
      <c r="O44" s="84">
        <v>0</v>
      </c>
      <c r="P44" s="85">
        <v>0</v>
      </c>
      <c r="Q44" s="83">
        <v>0</v>
      </c>
      <c r="R44" s="83">
        <v>0</v>
      </c>
      <c r="S44" s="83">
        <v>0</v>
      </c>
      <c r="T44" s="86">
        <v>0</v>
      </c>
      <c r="U44" s="85">
        <v>0</v>
      </c>
      <c r="V44" s="83">
        <v>0</v>
      </c>
      <c r="W44" s="83">
        <v>0</v>
      </c>
      <c r="X44" s="83">
        <v>0</v>
      </c>
      <c r="Y44" s="86">
        <v>0</v>
      </c>
      <c r="Z44" s="85">
        <v>0</v>
      </c>
      <c r="AA44" s="83">
        <v>0.3</v>
      </c>
      <c r="AB44" s="83">
        <v>0</v>
      </c>
      <c r="AC44" s="83">
        <v>0</v>
      </c>
      <c r="AD44" s="83">
        <v>0</v>
      </c>
      <c r="AE44" s="84">
        <v>0</v>
      </c>
      <c r="AF44" s="85">
        <v>0</v>
      </c>
      <c r="AG44" s="83">
        <v>0</v>
      </c>
      <c r="AH44" s="83">
        <v>0</v>
      </c>
      <c r="AI44" s="83">
        <v>0</v>
      </c>
      <c r="AJ44" s="83">
        <v>0</v>
      </c>
      <c r="AK44" s="83">
        <v>0</v>
      </c>
      <c r="AL44" s="86">
        <v>0</v>
      </c>
      <c r="AM44" s="32" t="str">
        <f>_xlfn.TEXTJOIN(", ",TRUE,
  IF(M44&gt;0,M$3&amp;": "&amp;TEXT(M44,"0%"),""),
  IF(N44&gt;0,N$3&amp;": "&amp;TEXT(N44,"0%"),""),
  IF(O44&gt;0,O$3&amp;": "&amp;TEXT(O44,"0%"),""),
  IF(P44&gt;0,P$3&amp;": "&amp;TEXT(P44,"0%"),""),
  IF(Q44&gt;0,Q$3&amp;": "&amp;TEXT(Q44,"0%"),""),
  IF(R44&gt;0,R$3&amp;": "&amp;TEXT(R44,"0%"),""),
  IF(S44&gt;0,S$3&amp;": "&amp;TEXT(S44,"0%"),""),
  IF(T44&gt;0,T$3&amp;": "&amp;TEXT(T44,"0%"),""),
  IF(U44&gt;0,U$3&amp;": "&amp;TEXT(U44,"0%"),""),
  IF(V44&gt;0,V$3&amp;": "&amp;TEXT(V44,"0%"),""),
  IF(W44&gt;0,W$3&amp;": "&amp;TEXT(W44,"0%"),""),
  IF(X44&gt;0,X$3&amp;": "&amp;TEXT(X44,"0%"),""),
  IF(Y44&gt;0,Y$3&amp;": "&amp;TEXT(Y44,"0%"),""),
  IF(Z44&gt;0,Z$3&amp;": "&amp;TEXT(Z44,"0%"),""),
  IF(AA44&gt;0,AA$3&amp;": "&amp;TEXT(AA44,"0%"),""),
  IF(AB44&gt;0,AB$3&amp;": "&amp;TEXT(AB44,"0%"),""),
  IF(AC44&gt;0,AC$3&amp;": "&amp;TEXT(AC44,"0%"),""),
  IF(AD44&gt;0,AD$3&amp;": "&amp;TEXT(AD44,"0%"),""),
  IF(AE44&gt;0,AE$3&amp;": "&amp;TEXT(AE44,"0%"),""),
  IF(AF44&gt;0,AF$3&amp;": "&amp;TEXT(AF44,"0%"),""),
  IF(AG44&gt;0,AG$3&amp;": "&amp;TEXT(AG44,"0%"),""),
  IF(AH44&gt;0,AH$3&amp;": "&amp;TEXT(AH44,"0%"),""),
  IF(AI44&gt;0,AI$3&amp;": "&amp;TEXT(AI44,"0%"),""),
  IF(AL44&gt;0,AL$3&amp;": "&amp;TEXT(AL44,"0%"),"")
)</f>
        <v>Doug: 30%</v>
      </c>
    </row>
    <row r="45" spans="1:39" s="4" customFormat="1" ht="117" customHeight="1">
      <c r="A45" s="168"/>
      <c r="B45" s="169"/>
      <c r="C45" s="173"/>
      <c r="D45" s="52" t="s">
        <v>148</v>
      </c>
      <c r="E45" s="52" t="s">
        <v>65</v>
      </c>
      <c r="F45" s="52" t="s">
        <v>149</v>
      </c>
      <c r="G45" s="52"/>
      <c r="H45" s="51" t="s">
        <v>150</v>
      </c>
      <c r="I45" s="51" t="s">
        <v>151</v>
      </c>
      <c r="J45" s="51"/>
      <c r="K45" s="52"/>
      <c r="L45" s="72"/>
      <c r="M45" s="82">
        <v>0</v>
      </c>
      <c r="N45" s="83">
        <v>0</v>
      </c>
      <c r="O45" s="84">
        <v>0</v>
      </c>
      <c r="P45" s="85">
        <v>0</v>
      </c>
      <c r="Q45" s="83">
        <v>0</v>
      </c>
      <c r="R45" s="83">
        <v>0</v>
      </c>
      <c r="S45" s="83">
        <v>0</v>
      </c>
      <c r="T45" s="86">
        <v>0</v>
      </c>
      <c r="U45" s="85">
        <v>0</v>
      </c>
      <c r="V45" s="83">
        <v>0</v>
      </c>
      <c r="W45" s="83">
        <v>0</v>
      </c>
      <c r="X45" s="83">
        <v>0</v>
      </c>
      <c r="Y45" s="86">
        <v>0</v>
      </c>
      <c r="Z45" s="85">
        <v>0.1</v>
      </c>
      <c r="AA45" s="83">
        <v>0</v>
      </c>
      <c r="AB45" s="83">
        <v>0</v>
      </c>
      <c r="AC45" s="83">
        <v>0.1</v>
      </c>
      <c r="AD45" s="83">
        <v>0</v>
      </c>
      <c r="AE45" s="84">
        <v>0</v>
      </c>
      <c r="AF45" s="85">
        <v>0</v>
      </c>
      <c r="AG45" s="83">
        <v>0</v>
      </c>
      <c r="AH45" s="83">
        <v>0</v>
      </c>
      <c r="AI45" s="83">
        <v>0</v>
      </c>
      <c r="AJ45" s="83">
        <v>0</v>
      </c>
      <c r="AK45" s="83">
        <v>0</v>
      </c>
      <c r="AL45" s="86">
        <v>0</v>
      </c>
      <c r="AM45" s="32" t="str">
        <f>_xlfn.TEXTJOIN(", ",TRUE,
  IF(M45&gt;0,M$3&amp;": "&amp;TEXT(M45,"0%"),""),
  IF(N45&gt;0,N$3&amp;": "&amp;TEXT(N45,"0%"),""),
  IF(O45&gt;0,O$3&amp;": "&amp;TEXT(O45,"0%"),""),
  IF(P45&gt;0,P$3&amp;": "&amp;TEXT(P45,"0%"),""),
  IF(Q45&gt;0,Q$3&amp;": "&amp;TEXT(Q45,"0%"),""),
  IF(R45&gt;0,R$3&amp;": "&amp;TEXT(R45,"0%"),""),
  IF(S45&gt;0,S$3&amp;": "&amp;TEXT(S45,"0%"),""),
  IF(T45&gt;0,T$3&amp;": "&amp;TEXT(T45,"0%"),""),
  IF(U45&gt;0,U$3&amp;": "&amp;TEXT(U45,"0%"),""),
  IF(V45&gt;0,V$3&amp;": "&amp;TEXT(V45,"0%"),""),
  IF(W45&gt;0,W$3&amp;": "&amp;TEXT(W45,"0%"),""),
  IF(X45&gt;0,X$3&amp;": "&amp;TEXT(X45,"0%"),""),
  IF(Y45&gt;0,Y$3&amp;": "&amp;TEXT(Y45,"0%"),""),
  IF(Z45&gt;0,Z$3&amp;": "&amp;TEXT(Z45,"0%"),""),
  IF(AA45&gt;0,AA$3&amp;": "&amp;TEXT(AA45,"0%"),""),
  IF(AB45&gt;0,AB$3&amp;": "&amp;TEXT(AB45,"0%"),""),
  IF(AC45&gt;0,AC$3&amp;": "&amp;TEXT(AC45,"0%"),""),
  IF(AD45&gt;0,AD$3&amp;": "&amp;TEXT(AD45,"0%"),""),
  IF(AE45&gt;0,AE$3&amp;": "&amp;TEXT(AE45,"0%"),""),
  IF(AF45&gt;0,AF$3&amp;": "&amp;TEXT(AF45,"0%"),""),
  IF(AG45&gt;0,AG$3&amp;": "&amp;TEXT(AG45,"0%"),""),
  IF(AH45&gt;0,AH$3&amp;": "&amp;TEXT(AH45,"0%"),""),
  IF(AI45&gt;0,AI$3&amp;": "&amp;TEXT(AI45,"0%"),""),
  IF(AL45&gt;0,AL$3&amp;": "&amp;TEXT(AL45,"0%"),"")
)</f>
        <v>Saskia: 10%, Suyee: 10%</v>
      </c>
    </row>
    <row r="46" spans="1:39" s="4" customFormat="1" ht="117" customHeight="1">
      <c r="A46" s="168"/>
      <c r="B46" s="169"/>
      <c r="C46" s="173"/>
      <c r="D46" s="52" t="s">
        <v>152</v>
      </c>
      <c r="E46" s="52" t="s">
        <v>65</v>
      </c>
      <c r="F46" s="52" t="s">
        <v>149</v>
      </c>
      <c r="G46" s="52"/>
      <c r="H46" s="51" t="s">
        <v>153</v>
      </c>
      <c r="I46" s="51"/>
      <c r="J46" s="51"/>
      <c r="K46" s="52"/>
      <c r="L46" s="72"/>
      <c r="M46" s="82">
        <v>0</v>
      </c>
      <c r="N46" s="83">
        <v>0</v>
      </c>
      <c r="O46" s="84">
        <v>0</v>
      </c>
      <c r="P46" s="85">
        <v>0</v>
      </c>
      <c r="Q46" s="83">
        <v>0</v>
      </c>
      <c r="R46" s="83">
        <v>0</v>
      </c>
      <c r="S46" s="83">
        <v>0</v>
      </c>
      <c r="T46" s="86">
        <v>0</v>
      </c>
      <c r="U46" s="85">
        <v>0</v>
      </c>
      <c r="V46" s="83">
        <v>0</v>
      </c>
      <c r="W46" s="83">
        <v>0</v>
      </c>
      <c r="X46" s="83">
        <v>0</v>
      </c>
      <c r="Y46" s="86">
        <v>0</v>
      </c>
      <c r="Z46" s="85">
        <v>0</v>
      </c>
      <c r="AA46" s="83">
        <v>0</v>
      </c>
      <c r="AB46" s="83">
        <v>0</v>
      </c>
      <c r="AC46" s="83">
        <v>0.2</v>
      </c>
      <c r="AD46" s="83">
        <v>0</v>
      </c>
      <c r="AE46" s="84">
        <v>0</v>
      </c>
      <c r="AF46" s="85">
        <v>0</v>
      </c>
      <c r="AG46" s="83">
        <v>0</v>
      </c>
      <c r="AH46" s="83">
        <v>0</v>
      </c>
      <c r="AI46" s="83">
        <v>0</v>
      </c>
      <c r="AJ46" s="83">
        <v>0</v>
      </c>
      <c r="AK46" s="83">
        <v>0</v>
      </c>
      <c r="AL46" s="86">
        <v>0</v>
      </c>
      <c r="AM46" s="32" t="str">
        <f>_xlfn.TEXTJOIN(", ",TRUE,
  IF(M46&gt;0,M$3&amp;": "&amp;TEXT(M46,"0%"),""),
  IF(N46&gt;0,N$3&amp;": "&amp;TEXT(N46,"0%"),""),
  IF(O46&gt;0,O$3&amp;": "&amp;TEXT(O46,"0%"),""),
  IF(P46&gt;0,P$3&amp;": "&amp;TEXT(P46,"0%"),""),
  IF(Q46&gt;0,Q$3&amp;": "&amp;TEXT(Q46,"0%"),""),
  IF(R46&gt;0,R$3&amp;": "&amp;TEXT(R46,"0%"),""),
  IF(S46&gt;0,S$3&amp;": "&amp;TEXT(S46,"0%"),""),
  IF(T46&gt;0,T$3&amp;": "&amp;TEXT(T46,"0%"),""),
  IF(U46&gt;0,U$3&amp;": "&amp;TEXT(U46,"0%"),""),
  IF(V46&gt;0,V$3&amp;": "&amp;TEXT(V46,"0%"),""),
  IF(W46&gt;0,W$3&amp;": "&amp;TEXT(W46,"0%"),""),
  IF(X46&gt;0,X$3&amp;": "&amp;TEXT(X46,"0%"),""),
  IF(Y46&gt;0,Y$3&amp;": "&amp;TEXT(Y46,"0%"),""),
  IF(Z46&gt;0,Z$3&amp;": "&amp;TEXT(Z46,"0%"),""),
  IF(AA46&gt;0,AA$3&amp;": "&amp;TEXT(AA46,"0%"),""),
  IF(AB46&gt;0,AB$3&amp;": "&amp;TEXT(AB46,"0%"),""),
  IF(AC46&gt;0,AC$3&amp;": "&amp;TEXT(AC46,"0%"),""),
  IF(AD46&gt;0,AD$3&amp;": "&amp;TEXT(AD46,"0%"),""),
  IF(AE46&gt;0,AE$3&amp;": "&amp;TEXT(AE46,"0%"),""),
  IF(AF46&gt;0,AF$3&amp;": "&amp;TEXT(AF46,"0%"),""),
  IF(AG46&gt;0,AG$3&amp;": "&amp;TEXT(AG46,"0%"),""),
  IF(AH46&gt;0,AH$3&amp;": "&amp;TEXT(AH46,"0%"),""),
  IF(AI46&gt;0,AI$3&amp;": "&amp;TEXT(AI46,"0%"),""),
  IF(AL46&gt;0,AL$3&amp;": "&amp;TEXT(AL46,"0%"),"")
)</f>
        <v>Suyee: 20%</v>
      </c>
    </row>
    <row r="47" spans="1:39" s="4" customFormat="1" ht="117" customHeight="1">
      <c r="A47" s="168"/>
      <c r="B47" s="169"/>
      <c r="C47" s="173"/>
      <c r="D47" s="52" t="s">
        <v>154</v>
      </c>
      <c r="E47" s="52" t="s">
        <v>57</v>
      </c>
      <c r="F47" s="52" t="s">
        <v>149</v>
      </c>
      <c r="G47" s="52"/>
      <c r="H47" s="51"/>
      <c r="I47" s="51"/>
      <c r="J47" s="51"/>
      <c r="K47" s="52"/>
      <c r="L47" s="72"/>
      <c r="M47" s="82">
        <v>0</v>
      </c>
      <c r="N47" s="82">
        <v>0</v>
      </c>
      <c r="O47" s="82">
        <v>0</v>
      </c>
      <c r="P47" s="85">
        <v>0</v>
      </c>
      <c r="Q47" s="82">
        <v>0</v>
      </c>
      <c r="R47" s="82">
        <v>0</v>
      </c>
      <c r="S47" s="82">
        <v>0</v>
      </c>
      <c r="T47" s="82">
        <v>0</v>
      </c>
      <c r="U47" s="85">
        <v>0</v>
      </c>
      <c r="V47" s="82">
        <v>0</v>
      </c>
      <c r="W47" s="82">
        <v>0</v>
      </c>
      <c r="X47" s="82">
        <v>0</v>
      </c>
      <c r="Y47" s="82">
        <v>0</v>
      </c>
      <c r="Z47" s="85">
        <v>0.1</v>
      </c>
      <c r="AA47" s="82">
        <v>0</v>
      </c>
      <c r="AB47" s="82">
        <v>0</v>
      </c>
      <c r="AC47" s="82">
        <v>0.1</v>
      </c>
      <c r="AD47" s="82">
        <v>0</v>
      </c>
      <c r="AE47" s="82">
        <v>0</v>
      </c>
      <c r="AF47" s="85">
        <v>0</v>
      </c>
      <c r="AG47" s="82">
        <v>0</v>
      </c>
      <c r="AH47" s="82">
        <v>0</v>
      </c>
      <c r="AI47" s="82">
        <v>0</v>
      </c>
      <c r="AJ47" s="82">
        <v>0</v>
      </c>
      <c r="AK47" s="82">
        <v>0</v>
      </c>
      <c r="AL47" s="82">
        <v>0</v>
      </c>
      <c r="AM47" s="32"/>
    </row>
    <row r="48" spans="1:39" s="4" customFormat="1" ht="117" customHeight="1">
      <c r="A48" s="168"/>
      <c r="B48" s="169"/>
      <c r="C48" s="173"/>
      <c r="D48" s="52" t="s">
        <v>155</v>
      </c>
      <c r="E48" s="52" t="s">
        <v>65</v>
      </c>
      <c r="F48" s="52" t="s">
        <v>124</v>
      </c>
      <c r="G48" s="52"/>
      <c r="H48" s="51" t="s">
        <v>156</v>
      </c>
      <c r="I48" s="51" t="s">
        <v>157</v>
      </c>
      <c r="J48" s="51"/>
      <c r="K48" s="52"/>
      <c r="L48" s="72"/>
      <c r="M48" s="82">
        <v>0</v>
      </c>
      <c r="N48" s="83">
        <v>0</v>
      </c>
      <c r="O48" s="84">
        <v>0</v>
      </c>
      <c r="P48" s="85">
        <v>0</v>
      </c>
      <c r="Q48" s="83">
        <v>0</v>
      </c>
      <c r="R48" s="83">
        <v>0</v>
      </c>
      <c r="S48" s="83">
        <v>0</v>
      </c>
      <c r="T48" s="86">
        <v>0</v>
      </c>
      <c r="U48" s="85">
        <v>0</v>
      </c>
      <c r="V48" s="83">
        <v>0</v>
      </c>
      <c r="W48" s="83">
        <v>0</v>
      </c>
      <c r="X48" s="83">
        <v>0</v>
      </c>
      <c r="Y48" s="86">
        <v>0</v>
      </c>
      <c r="Z48" s="85">
        <v>0.3</v>
      </c>
      <c r="AA48" s="83">
        <v>0</v>
      </c>
      <c r="AB48" s="83">
        <v>0</v>
      </c>
      <c r="AC48" s="83">
        <v>0</v>
      </c>
      <c r="AD48" s="83">
        <v>0</v>
      </c>
      <c r="AE48" s="84">
        <v>0</v>
      </c>
      <c r="AF48" s="85">
        <v>0</v>
      </c>
      <c r="AG48" s="83">
        <v>0</v>
      </c>
      <c r="AH48" s="83">
        <v>0</v>
      </c>
      <c r="AI48" s="83">
        <v>0</v>
      </c>
      <c r="AJ48" s="83">
        <v>0</v>
      </c>
      <c r="AK48" s="83">
        <v>0</v>
      </c>
      <c r="AL48" s="86">
        <v>0</v>
      </c>
      <c r="AM48" s="32" t="str">
        <f>_xlfn.TEXTJOIN(", ",TRUE,
  IF(M48&gt;0,M$3&amp;": "&amp;TEXT(M48,"0%"),""),
  IF(N48&gt;0,N$3&amp;": "&amp;TEXT(N48,"0%"),""),
  IF(O48&gt;0,O$3&amp;": "&amp;TEXT(O48,"0%"),""),
  IF(P48&gt;0,P$3&amp;": "&amp;TEXT(P48,"0%"),""),
  IF(Q48&gt;0,Q$3&amp;": "&amp;TEXT(Q48,"0%"),""),
  IF(R48&gt;0,R$3&amp;": "&amp;TEXT(R48,"0%"),""),
  IF(S48&gt;0,S$3&amp;": "&amp;TEXT(S48,"0%"),""),
  IF(T48&gt;0,T$3&amp;": "&amp;TEXT(T48,"0%"),""),
  IF(U48&gt;0,U$3&amp;": "&amp;TEXT(U48,"0%"),""),
  IF(V48&gt;0,V$3&amp;": "&amp;TEXT(V48,"0%"),""),
  IF(W48&gt;0,W$3&amp;": "&amp;TEXT(W48,"0%"),""),
  IF(X48&gt;0,X$3&amp;": "&amp;TEXT(X48,"0%"),""),
  IF(Y48&gt;0,Y$3&amp;": "&amp;TEXT(Y48,"0%"),""),
  IF(Z48&gt;0,Z$3&amp;": "&amp;TEXT(Z48,"0%"),""),
  IF(AA48&gt;0,AA$3&amp;": "&amp;TEXT(AA48,"0%"),""),
  IF(AB48&gt;0,AB$3&amp;": "&amp;TEXT(AB48,"0%"),""),
  IF(AC48&gt;0,AC$3&amp;": "&amp;TEXT(AC48,"0%"),""),
  IF(AD48&gt;0,AD$3&amp;": "&amp;TEXT(AD48,"0%"),""),
  IF(AE48&gt;0,AE$3&amp;": "&amp;TEXT(AE48,"0%"),""),
  IF(AF48&gt;0,AF$3&amp;": "&amp;TEXT(AF48,"0%"),""),
  IF(AG48&gt;0,AG$3&amp;": "&amp;TEXT(AG48,"0%"),""),
  IF(AH48&gt;0,AH$3&amp;": "&amp;TEXT(AH48,"0%"),""),
  IF(AI48&gt;0,AI$3&amp;": "&amp;TEXT(AI48,"0%"),""),
  IF(AL48&gt;0,AL$3&amp;": "&amp;TEXT(AL48,"0%"),"")
)</f>
        <v>Saskia: 30%</v>
      </c>
    </row>
    <row r="49" spans="1:39" s="4" customFormat="1" ht="18.95" customHeight="1" thickBot="1">
      <c r="A49" s="170"/>
      <c r="B49" s="171"/>
      <c r="C49" s="174"/>
      <c r="D49" s="161" t="s">
        <v>67</v>
      </c>
      <c r="E49" s="162"/>
      <c r="F49" s="162"/>
      <c r="G49" s="162"/>
      <c r="H49" s="162"/>
      <c r="I49" s="162"/>
      <c r="J49" s="162"/>
      <c r="K49" s="162"/>
      <c r="L49" s="163"/>
      <c r="M49" s="87">
        <f t="shared" ref="M49:AL49" si="7">SUM(M36:M48)</f>
        <v>0</v>
      </c>
      <c r="N49" s="87">
        <f t="shared" si="7"/>
        <v>0</v>
      </c>
      <c r="O49" s="87">
        <f t="shared" si="7"/>
        <v>0</v>
      </c>
      <c r="P49" s="87">
        <f t="shared" si="7"/>
        <v>0</v>
      </c>
      <c r="Q49" s="87">
        <f t="shared" si="7"/>
        <v>0</v>
      </c>
      <c r="R49" s="87">
        <f t="shared" si="7"/>
        <v>0</v>
      </c>
      <c r="S49" s="87">
        <f t="shared" si="7"/>
        <v>0</v>
      </c>
      <c r="T49" s="87">
        <f t="shared" si="7"/>
        <v>0</v>
      </c>
      <c r="U49" s="87">
        <f t="shared" si="7"/>
        <v>0</v>
      </c>
      <c r="V49" s="87">
        <f t="shared" si="7"/>
        <v>0</v>
      </c>
      <c r="W49" s="87">
        <f t="shared" si="7"/>
        <v>0</v>
      </c>
      <c r="X49" s="87">
        <f t="shared" si="7"/>
        <v>0</v>
      </c>
      <c r="Y49" s="87">
        <f t="shared" si="7"/>
        <v>0</v>
      </c>
      <c r="Z49" s="87">
        <f t="shared" si="7"/>
        <v>1.2999999999999998</v>
      </c>
      <c r="AA49" s="87">
        <f t="shared" si="7"/>
        <v>1</v>
      </c>
      <c r="AB49" s="87">
        <f t="shared" si="7"/>
        <v>1</v>
      </c>
      <c r="AC49" s="87">
        <f t="shared" si="7"/>
        <v>1.1000000000000001</v>
      </c>
      <c r="AD49" s="87">
        <f t="shared" si="7"/>
        <v>0.4</v>
      </c>
      <c r="AE49" s="88">
        <f t="shared" si="7"/>
        <v>1</v>
      </c>
      <c r="AF49" s="89">
        <f t="shared" si="7"/>
        <v>0</v>
      </c>
      <c r="AG49" s="87">
        <f t="shared" si="7"/>
        <v>0</v>
      </c>
      <c r="AH49" s="87">
        <f t="shared" si="7"/>
        <v>0</v>
      </c>
      <c r="AI49" s="87">
        <f t="shared" si="7"/>
        <v>0</v>
      </c>
      <c r="AJ49" s="87">
        <f t="shared" si="7"/>
        <v>0</v>
      </c>
      <c r="AK49" s="87">
        <f t="shared" si="7"/>
        <v>0</v>
      </c>
      <c r="AL49" s="90">
        <f t="shared" si="7"/>
        <v>0</v>
      </c>
      <c r="AM49" s="32" t="str">
        <f>_xlfn.TEXTJOIN(", ",TRUE,
  IF(M49&gt;0,M$3&amp;": "&amp;TEXT(M49,"0%"),""),
  IF(N49&gt;0,N$3&amp;": "&amp;TEXT(N49,"0%"),""),
  IF(O49&gt;0,O$3&amp;": "&amp;TEXT(O49,"0%"),""),
  IF(P49&gt;0,P$3&amp;": "&amp;TEXT(P49,"0%"),""),
  IF(Q49&gt;0,Q$3&amp;": "&amp;TEXT(Q49,"0%"),""),
  IF(R49&gt;0,R$3&amp;": "&amp;TEXT(R49,"0%"),""),
  IF(S49&gt;0,S$3&amp;": "&amp;TEXT(S49,"0%"),""),
  IF(T49&gt;0,T$3&amp;": "&amp;TEXT(T49,"0%"),""),
  IF(U49&gt;0,U$3&amp;": "&amp;TEXT(U49,"0%"),""),
  IF(V49&gt;0,V$3&amp;": "&amp;TEXT(V49,"0%"),""),
  IF(W49&gt;0,W$3&amp;": "&amp;TEXT(W49,"0%"),""),
  IF(X49&gt;0,X$3&amp;": "&amp;TEXT(X49,"0%"),""),
  IF(Y49&gt;0,Y$3&amp;": "&amp;TEXT(Y49,"0%"),""),
  IF(Z49&gt;0,Z$3&amp;": "&amp;TEXT(Z49,"0%"),""),
  IF(AA49&gt;0,AA$3&amp;": "&amp;TEXT(AA49,"0%"),""),
  IF(AB49&gt;0,AB$3&amp;": "&amp;TEXT(AB49,"0%"),""),
  IF(AC49&gt;0,AC$3&amp;": "&amp;TEXT(AC49,"0%"),""),
  IF(AD49&gt;0,AD$3&amp;": "&amp;TEXT(AD49,"0%"),""),
  IF(AE49&gt;0,AE$3&amp;": "&amp;TEXT(AE49,"0%"),""),
  IF(AF49&gt;0,AF$3&amp;": "&amp;TEXT(AF49,"0%"),""),
  IF(AG49&gt;0,AG$3&amp;": "&amp;TEXT(AG49,"0%"),""),
  IF(AH49&gt;0,AH$3&amp;": "&amp;TEXT(AH49,"0%"),""),
  IF(AI49&gt;0,AI$3&amp;": "&amp;TEXT(AI49,"0%"),""),
  IF(AL49&gt;0,AL$3&amp;": "&amp;TEXT(AL49,"0%"),"")
)</f>
        <v>Saskia: 130%, Doug: 100%, Dan: 100%, Suyee: 110%, Tom: 40%, Sreya: 100%</v>
      </c>
    </row>
    <row r="50" spans="1:39" s="4" customFormat="1" ht="57" customHeight="1">
      <c r="A50" s="167" t="s">
        <v>158</v>
      </c>
      <c r="B50" s="130" t="s">
        <v>19</v>
      </c>
      <c r="C50" s="130"/>
      <c r="D50" s="52" t="s">
        <v>159</v>
      </c>
      <c r="E50" s="52" t="s">
        <v>48</v>
      </c>
      <c r="F50" s="52" t="s">
        <v>149</v>
      </c>
      <c r="G50" s="52" t="s">
        <v>160</v>
      </c>
      <c r="H50" s="51" t="s">
        <v>161</v>
      </c>
      <c r="I50" s="51" t="s">
        <v>162</v>
      </c>
      <c r="J50" s="51" t="s">
        <v>163</v>
      </c>
      <c r="K50" s="52"/>
      <c r="L50" s="72" t="s">
        <v>164</v>
      </c>
      <c r="M50" s="77">
        <v>0</v>
      </c>
      <c r="N50" s="78">
        <v>0</v>
      </c>
      <c r="O50" s="79">
        <v>0.2</v>
      </c>
      <c r="P50" s="80">
        <v>0</v>
      </c>
      <c r="Q50" s="78">
        <v>0</v>
      </c>
      <c r="R50" s="78">
        <v>0</v>
      </c>
      <c r="S50" s="78">
        <v>0</v>
      </c>
      <c r="T50" s="81">
        <v>0</v>
      </c>
      <c r="U50" s="80">
        <v>0</v>
      </c>
      <c r="V50" s="78">
        <v>0</v>
      </c>
      <c r="W50" s="78">
        <v>0</v>
      </c>
      <c r="X50" s="78">
        <v>0</v>
      </c>
      <c r="Y50" s="79">
        <v>0</v>
      </c>
      <c r="Z50" s="80">
        <v>0</v>
      </c>
      <c r="AA50" s="78">
        <v>0</v>
      </c>
      <c r="AB50" s="78">
        <v>0</v>
      </c>
      <c r="AC50" s="78">
        <v>0</v>
      </c>
      <c r="AD50" s="78">
        <v>0</v>
      </c>
      <c r="AE50" s="79">
        <v>0</v>
      </c>
      <c r="AF50" s="80">
        <v>0</v>
      </c>
      <c r="AG50" s="78">
        <v>0</v>
      </c>
      <c r="AH50" s="78">
        <v>0</v>
      </c>
      <c r="AI50" s="78">
        <v>0</v>
      </c>
      <c r="AJ50" s="78">
        <v>0</v>
      </c>
      <c r="AK50" s="78">
        <v>0</v>
      </c>
      <c r="AL50" s="81">
        <v>0</v>
      </c>
      <c r="AM50" s="32" t="str">
        <f>_xlfn.TEXTJOIN(", ",TRUE,
  IF(M50&gt;0,M$3&amp;": "&amp;TEXT(M50,"0%"),""),
  IF(N50&gt;0,N$3&amp;": "&amp;TEXT(N50,"0%"),""),
  IF(O50&gt;0,O$3&amp;": "&amp;TEXT(O50,"0%"),""),
  IF(P50&gt;0,P$3&amp;": "&amp;TEXT(P50,"0%"),""),
  IF(Q50&gt;0,Q$3&amp;": "&amp;TEXT(Q50,"0%"),""),
  IF(R50&gt;0,R$3&amp;": "&amp;TEXT(R50,"0%"),""),
  IF(S50&gt;0,S$3&amp;": "&amp;TEXT(S50,"0%"),""),
  IF(T50&gt;0,T$3&amp;": "&amp;TEXT(T50,"0%"),""),
  IF(U50&gt;0,U$3&amp;": "&amp;TEXT(U50,"0%"),""),
  IF(V50&gt;0,V$3&amp;": "&amp;TEXT(V50,"0%"),""),
  IF(W50&gt;0,W$3&amp;": "&amp;TEXT(W50,"0%"),""),
  IF(X50&gt;0,X$3&amp;": "&amp;TEXT(X50,"0%"),""),
  IF(Y50&gt;0,Y$3&amp;": "&amp;TEXT(Y50,"0%"),""),
  IF(Z50&gt;0,Z$3&amp;": "&amp;TEXT(Z50,"0%"),""),
  IF(AA50&gt;0,AA$3&amp;": "&amp;TEXT(AA50,"0%"),""),
  IF(AB50&gt;0,AB$3&amp;": "&amp;TEXT(AB50,"0%"),""),
  IF(AC50&gt;0,AC$3&amp;": "&amp;TEXT(AC50,"0%"),""),
  IF(AD50&gt;0,AD$3&amp;": "&amp;TEXT(AD50,"0%"),""),
  IF(AE50&gt;0,AE$3&amp;": "&amp;TEXT(AE50,"0%"),""),
  IF(AF50&gt;0,AF$3&amp;": "&amp;TEXT(AF50,"0%"),""),
  IF(AG50&gt;0,AG$3&amp;": "&amp;TEXT(AG50,"0%"),""),
  IF(AH50&gt;0,AH$3&amp;": "&amp;TEXT(AH50,"0%"),""),
  IF(AI50&gt;0,AI$3&amp;": "&amp;TEXT(AI50,"0%"),""),
  IF(AL50&gt;0,AL$3&amp;": "&amp;TEXT(AL50,"0%"),"")
)</f>
        <v>Alessio: 20%</v>
      </c>
    </row>
    <row r="51" spans="1:39" s="4" customFormat="1" ht="57" customHeight="1">
      <c r="A51" s="168"/>
      <c r="B51" s="169"/>
      <c r="C51" s="169"/>
      <c r="D51" s="52" t="s">
        <v>165</v>
      </c>
      <c r="E51" s="52" t="s">
        <v>48</v>
      </c>
      <c r="F51" s="52" t="s">
        <v>106</v>
      </c>
      <c r="G51" s="52" t="s">
        <v>112</v>
      </c>
      <c r="H51" s="51" t="s">
        <v>166</v>
      </c>
      <c r="I51" s="51" t="s">
        <v>167</v>
      </c>
      <c r="J51" s="51" t="s">
        <v>168</v>
      </c>
      <c r="K51" s="52"/>
      <c r="L51" s="72" t="s">
        <v>164</v>
      </c>
      <c r="M51" s="94"/>
      <c r="N51" s="95"/>
      <c r="O51" s="96">
        <v>0.3</v>
      </c>
      <c r="P51" s="97"/>
      <c r="Q51" s="95"/>
      <c r="R51" s="95"/>
      <c r="S51" s="95"/>
      <c r="T51" s="98"/>
      <c r="U51" s="97"/>
      <c r="V51" s="95"/>
      <c r="W51" s="95"/>
      <c r="X51" s="95"/>
      <c r="Y51" s="96"/>
      <c r="Z51" s="97"/>
      <c r="AA51" s="95"/>
      <c r="AB51" s="95"/>
      <c r="AC51" s="95"/>
      <c r="AD51" s="95"/>
      <c r="AE51" s="96"/>
      <c r="AF51" s="97"/>
      <c r="AG51" s="95"/>
      <c r="AH51" s="95"/>
      <c r="AI51" s="95"/>
      <c r="AJ51" s="95"/>
      <c r="AK51" s="95"/>
      <c r="AL51" s="98"/>
      <c r="AM51" s="32"/>
    </row>
    <row r="52" spans="1:39" s="4" customFormat="1" ht="57" customHeight="1">
      <c r="A52" s="168"/>
      <c r="B52" s="169"/>
      <c r="C52" s="169"/>
      <c r="D52" s="52" t="s">
        <v>169</v>
      </c>
      <c r="E52" s="52" t="s">
        <v>48</v>
      </c>
      <c r="F52" s="52" t="s">
        <v>124</v>
      </c>
      <c r="G52" s="52" t="s">
        <v>170</v>
      </c>
      <c r="H52" s="51" t="s">
        <v>171</v>
      </c>
      <c r="I52" s="51" t="s">
        <v>172</v>
      </c>
      <c r="J52" s="51"/>
      <c r="K52" s="52"/>
      <c r="L52" s="72"/>
      <c r="M52" s="82">
        <v>0</v>
      </c>
      <c r="N52" s="83">
        <v>0</v>
      </c>
      <c r="O52" s="84">
        <v>0.3</v>
      </c>
      <c r="P52" s="85">
        <v>0</v>
      </c>
      <c r="Q52" s="83">
        <v>0</v>
      </c>
      <c r="R52" s="83">
        <v>0</v>
      </c>
      <c r="S52" s="83">
        <v>0</v>
      </c>
      <c r="T52" s="86">
        <v>0</v>
      </c>
      <c r="U52" s="85">
        <v>0</v>
      </c>
      <c r="V52" s="83">
        <v>0</v>
      </c>
      <c r="W52" s="83">
        <v>0</v>
      </c>
      <c r="X52" s="83">
        <v>0</v>
      </c>
      <c r="Y52" s="84">
        <v>0</v>
      </c>
      <c r="Z52" s="85">
        <v>0</v>
      </c>
      <c r="AA52" s="83">
        <v>0</v>
      </c>
      <c r="AB52" s="83">
        <v>0</v>
      </c>
      <c r="AC52" s="83">
        <v>0</v>
      </c>
      <c r="AD52" s="83">
        <v>0</v>
      </c>
      <c r="AE52" s="84">
        <v>0</v>
      </c>
      <c r="AF52" s="85">
        <v>0</v>
      </c>
      <c r="AG52" s="83">
        <v>0</v>
      </c>
      <c r="AH52" s="83">
        <v>0</v>
      </c>
      <c r="AI52" s="83">
        <v>0</v>
      </c>
      <c r="AJ52" s="83">
        <v>0</v>
      </c>
      <c r="AK52" s="83">
        <v>0</v>
      </c>
      <c r="AL52" s="86">
        <v>0</v>
      </c>
      <c r="AM52" s="32"/>
    </row>
    <row r="53" spans="1:39" s="4" customFormat="1" ht="57" customHeight="1">
      <c r="A53" s="168"/>
      <c r="B53" s="169"/>
      <c r="C53" s="169"/>
      <c r="D53" s="52" t="s">
        <v>173</v>
      </c>
      <c r="E53" s="52" t="s">
        <v>48</v>
      </c>
      <c r="F53" s="52" t="s">
        <v>106</v>
      </c>
      <c r="G53" s="52" t="s">
        <v>170</v>
      </c>
      <c r="H53" s="51" t="s">
        <v>174</v>
      </c>
      <c r="I53" s="51" t="s">
        <v>175</v>
      </c>
      <c r="J53" s="51"/>
      <c r="K53" s="52"/>
      <c r="L53" s="72"/>
      <c r="M53" s="82">
        <v>0</v>
      </c>
      <c r="N53" s="83">
        <v>0</v>
      </c>
      <c r="O53" s="84">
        <v>0.2</v>
      </c>
      <c r="P53" s="85">
        <v>0</v>
      </c>
      <c r="Q53" s="83">
        <v>0</v>
      </c>
      <c r="R53" s="83">
        <v>0</v>
      </c>
      <c r="S53" s="83">
        <v>0</v>
      </c>
      <c r="T53" s="86">
        <v>0</v>
      </c>
      <c r="U53" s="85">
        <v>0</v>
      </c>
      <c r="V53" s="83">
        <v>0</v>
      </c>
      <c r="W53" s="83">
        <v>0</v>
      </c>
      <c r="X53" s="83">
        <v>0</v>
      </c>
      <c r="Y53" s="84">
        <v>0</v>
      </c>
      <c r="Z53" s="85">
        <v>0</v>
      </c>
      <c r="AA53" s="83">
        <v>0</v>
      </c>
      <c r="AB53" s="83">
        <v>0</v>
      </c>
      <c r="AC53" s="83">
        <v>0</v>
      </c>
      <c r="AD53" s="83">
        <v>0</v>
      </c>
      <c r="AE53" s="84">
        <v>0</v>
      </c>
      <c r="AF53" s="85">
        <v>0</v>
      </c>
      <c r="AG53" s="83">
        <v>0</v>
      </c>
      <c r="AH53" s="83">
        <v>0</v>
      </c>
      <c r="AI53" s="83">
        <v>0</v>
      </c>
      <c r="AJ53" s="83">
        <v>0</v>
      </c>
      <c r="AK53" s="83">
        <v>0</v>
      </c>
      <c r="AL53" s="86">
        <v>0</v>
      </c>
      <c r="AM53" s="32"/>
    </row>
    <row r="54" spans="1:39" s="4" customFormat="1" ht="20.100000000000001" customHeight="1" thickBot="1">
      <c r="A54" s="170"/>
      <c r="B54" s="171"/>
      <c r="C54" s="171"/>
      <c r="D54" s="161" t="s">
        <v>67</v>
      </c>
      <c r="E54" s="162"/>
      <c r="F54" s="162"/>
      <c r="G54" s="162"/>
      <c r="H54" s="162"/>
      <c r="I54" s="162"/>
      <c r="J54" s="162"/>
      <c r="K54" s="162"/>
      <c r="L54" s="163"/>
      <c r="M54" s="87">
        <f>SUM(M50:M50)</f>
        <v>0</v>
      </c>
      <c r="N54" s="87">
        <f>SUM(N50:N50)</f>
        <v>0</v>
      </c>
      <c r="O54" s="88">
        <f>SUM(O50:O53)</f>
        <v>1</v>
      </c>
      <c r="P54" s="89">
        <f t="shared" ref="P54:AL54" si="8">SUM(P50:P50)</f>
        <v>0</v>
      </c>
      <c r="Q54" s="87">
        <f t="shared" si="8"/>
        <v>0</v>
      </c>
      <c r="R54" s="87">
        <f t="shared" si="8"/>
        <v>0</v>
      </c>
      <c r="S54" s="87">
        <f t="shared" si="8"/>
        <v>0</v>
      </c>
      <c r="T54" s="90">
        <f t="shared" si="8"/>
        <v>0</v>
      </c>
      <c r="U54" s="89">
        <f t="shared" si="8"/>
        <v>0</v>
      </c>
      <c r="V54" s="87">
        <f t="shared" si="8"/>
        <v>0</v>
      </c>
      <c r="W54" s="87">
        <f t="shared" si="8"/>
        <v>0</v>
      </c>
      <c r="X54" s="87">
        <f t="shared" si="8"/>
        <v>0</v>
      </c>
      <c r="Y54" s="88">
        <f t="shared" si="8"/>
        <v>0</v>
      </c>
      <c r="Z54" s="89">
        <f t="shared" si="8"/>
        <v>0</v>
      </c>
      <c r="AA54" s="87">
        <f t="shared" si="8"/>
        <v>0</v>
      </c>
      <c r="AB54" s="87">
        <f t="shared" si="8"/>
        <v>0</v>
      </c>
      <c r="AC54" s="87">
        <f t="shared" si="8"/>
        <v>0</v>
      </c>
      <c r="AD54" s="87">
        <f t="shared" si="8"/>
        <v>0</v>
      </c>
      <c r="AE54" s="88">
        <f t="shared" si="8"/>
        <v>0</v>
      </c>
      <c r="AF54" s="89">
        <f t="shared" si="8"/>
        <v>0</v>
      </c>
      <c r="AG54" s="87">
        <f t="shared" si="8"/>
        <v>0</v>
      </c>
      <c r="AH54" s="87">
        <f t="shared" si="8"/>
        <v>0</v>
      </c>
      <c r="AI54" s="87">
        <f t="shared" si="8"/>
        <v>0</v>
      </c>
      <c r="AJ54" s="92">
        <f t="shared" si="8"/>
        <v>0</v>
      </c>
      <c r="AK54" s="92">
        <f t="shared" si="8"/>
        <v>0</v>
      </c>
      <c r="AL54" s="90">
        <f t="shared" si="8"/>
        <v>0</v>
      </c>
      <c r="AM54" s="32" t="str">
        <f>_xlfn.TEXTJOIN(", ",TRUE,
  IF(M54&gt;0,M$3&amp;": "&amp;TEXT(M54,"0%"),""),
  IF(N54&gt;0,N$3&amp;": "&amp;TEXT(N54,"0%"),""),
  IF(O54&gt;0,O$3&amp;": "&amp;TEXT(O54,"0%"),""),
  IF(P54&gt;0,P$3&amp;": "&amp;TEXT(P54,"0%"),""),
  IF(Q54&gt;0,Q$3&amp;": "&amp;TEXT(Q54,"0%"),""),
  IF(R54&gt;0,R$3&amp;": "&amp;TEXT(R54,"0%"),""),
  IF(S54&gt;0,S$3&amp;": "&amp;TEXT(S54,"0%"),""),
  IF(T54&gt;0,T$3&amp;": "&amp;TEXT(T54,"0%"),""),
  IF(U54&gt;0,U$3&amp;": "&amp;TEXT(U54,"0%"),""),
  IF(V54&gt;0,V$3&amp;": "&amp;TEXT(V54,"0%"),""),
  IF(W54&gt;0,W$3&amp;": "&amp;TEXT(W54,"0%"),""),
  IF(X54&gt;0,X$3&amp;": "&amp;TEXT(X54,"0%"),""),
  IF(Y54&gt;0,Y$3&amp;": "&amp;TEXT(Y54,"0%"),""),
  IF(Z54&gt;0,Z$3&amp;": "&amp;TEXT(Z54,"0%"),""),
  IF(AA54&gt;0,AA$3&amp;": "&amp;TEXT(AA54,"0%"),""),
  IF(AB54&gt;0,AB$3&amp;": "&amp;TEXT(AB54,"0%"),""),
  IF(AC54&gt;0,AC$3&amp;": "&amp;TEXT(AC54,"0%"),""),
  IF(AD54&gt;0,AD$3&amp;": "&amp;TEXT(AD54,"0%"),""),
  IF(AE54&gt;0,AE$3&amp;": "&amp;TEXT(AE54,"0%"),""),
  IF(AF54&gt;0,AF$3&amp;": "&amp;TEXT(AF54,"0%"),""),
  IF(AG54&gt;0,AG$3&amp;": "&amp;TEXT(AG54,"0%"),""),
  IF(AH54&gt;0,AH$3&amp;": "&amp;TEXT(AH54,"0%"),""),
  IF(AI54&gt;0,AI$3&amp;": "&amp;TEXT(AI54,"0%"),""),
  IF(AL54&gt;0,AL$3&amp;": "&amp;TEXT(AL54,"0%"),"")
)</f>
        <v>Alessio: 100%</v>
      </c>
    </row>
    <row r="55" spans="1:39" s="4" customFormat="1" ht="65.25" customHeight="1">
      <c r="A55" s="167" t="s">
        <v>176</v>
      </c>
      <c r="B55" s="130" t="s">
        <v>19</v>
      </c>
      <c r="C55" s="130"/>
      <c r="D55" s="52" t="s">
        <v>177</v>
      </c>
      <c r="E55" s="52" t="s">
        <v>48</v>
      </c>
      <c r="F55" s="52" t="s">
        <v>106</v>
      </c>
      <c r="G55" s="52" t="s">
        <v>178</v>
      </c>
      <c r="H55" s="51" t="s">
        <v>179</v>
      </c>
      <c r="I55" s="51"/>
      <c r="J55" s="51"/>
      <c r="K55" s="52"/>
      <c r="L55" s="72"/>
      <c r="M55" s="77">
        <v>0</v>
      </c>
      <c r="N55" s="78">
        <v>0.3</v>
      </c>
      <c r="O55" s="79">
        <v>0</v>
      </c>
      <c r="P55" s="80">
        <v>0</v>
      </c>
      <c r="Q55" s="78">
        <v>0</v>
      </c>
      <c r="R55" s="78">
        <v>0</v>
      </c>
      <c r="S55" s="78">
        <v>0</v>
      </c>
      <c r="T55" s="81">
        <v>0</v>
      </c>
      <c r="U55" s="80">
        <v>0</v>
      </c>
      <c r="V55" s="78">
        <v>0</v>
      </c>
      <c r="W55" s="78">
        <v>0</v>
      </c>
      <c r="X55" s="78">
        <v>0</v>
      </c>
      <c r="Y55" s="79">
        <v>0</v>
      </c>
      <c r="Z55" s="80">
        <v>0</v>
      </c>
      <c r="AA55" s="78">
        <v>0</v>
      </c>
      <c r="AB55" s="78">
        <v>0</v>
      </c>
      <c r="AC55" s="78">
        <v>0</v>
      </c>
      <c r="AD55" s="78">
        <v>0</v>
      </c>
      <c r="AE55" s="79">
        <v>0</v>
      </c>
      <c r="AF55" s="80">
        <v>0</v>
      </c>
      <c r="AG55" s="78">
        <v>0</v>
      </c>
      <c r="AH55" s="78">
        <v>0</v>
      </c>
      <c r="AI55" s="78">
        <v>0</v>
      </c>
      <c r="AJ55" s="78">
        <v>0</v>
      </c>
      <c r="AK55" s="78">
        <v>0</v>
      </c>
      <c r="AL55" s="81">
        <v>0</v>
      </c>
      <c r="AM55" s="32" t="str">
        <f>_xlfn.TEXTJOIN(", ",TRUE,
  IF(M55&gt;0,M$3&amp;": "&amp;TEXT(M55,"0%"),""),
  IF(N55&gt;0,N$3&amp;": "&amp;TEXT(N55,"0%"),""),
  IF(O55&gt;0,O$3&amp;": "&amp;TEXT(O55,"0%"),""),
  IF(P55&gt;0,P$3&amp;": "&amp;TEXT(P55,"0%"),""),
  IF(Q55&gt;0,Q$3&amp;": "&amp;TEXT(Q55,"0%"),""),
  IF(R55&gt;0,R$3&amp;": "&amp;TEXT(R55,"0%"),""),
  IF(S55&gt;0,S$3&amp;": "&amp;TEXT(S55,"0%"),""),
  IF(T55&gt;0,T$3&amp;": "&amp;TEXT(T55,"0%"),""),
  IF(U55&gt;0,U$3&amp;": "&amp;TEXT(U55,"0%"),""),
  IF(V55&gt;0,V$3&amp;": "&amp;TEXT(V55,"0%"),""),
  IF(W55&gt;0,W$3&amp;": "&amp;TEXT(W55,"0%"),""),
  IF(X55&gt;0,X$3&amp;": "&amp;TEXT(X55,"0%"),""),
  IF(Y55&gt;0,Y$3&amp;": "&amp;TEXT(Y55,"0%"),""),
  IF(Z55&gt;0,Z$3&amp;": "&amp;TEXT(Z55,"0%"),""),
  IF(AA55&gt;0,AA$3&amp;": "&amp;TEXT(AA55,"0%"),""),
  IF(AB55&gt;0,AB$3&amp;": "&amp;TEXT(AB55,"0%"),""),
  IF(AC55&gt;0,AC$3&amp;": "&amp;TEXT(AC55,"0%"),""),
  IF(AD55&gt;0,AD$3&amp;": "&amp;TEXT(AD55,"0%"),""),
  IF(AE55&gt;0,AE$3&amp;": "&amp;TEXT(AE55,"0%"),""),
  IF(AF55&gt;0,AF$3&amp;": "&amp;TEXT(AF55,"0%"),""),
  IF(AG55&gt;0,AG$3&amp;": "&amp;TEXT(AG55,"0%"),""),
  IF(AH55&gt;0,AH$3&amp;": "&amp;TEXT(AH55,"0%"),""),
  IF(AI55&gt;0,AI$3&amp;": "&amp;TEXT(AI55,"0%"),""),
  IF(AL55&gt;0,AL$3&amp;": "&amp;TEXT(AL55,"0%"),"")
)</f>
        <v>Johannes: 30%</v>
      </c>
    </row>
    <row r="56" spans="1:39" s="4" customFormat="1" ht="65.25" customHeight="1">
      <c r="A56" s="168"/>
      <c r="B56" s="169"/>
      <c r="C56" s="169"/>
      <c r="D56" s="52" t="s">
        <v>180</v>
      </c>
      <c r="E56" s="52" t="s">
        <v>65</v>
      </c>
      <c r="F56" s="52" t="s">
        <v>106</v>
      </c>
      <c r="G56" s="52" t="s">
        <v>91</v>
      </c>
      <c r="H56" s="51" t="s">
        <v>181</v>
      </c>
      <c r="I56" s="51"/>
      <c r="J56" s="51"/>
      <c r="K56" s="52"/>
      <c r="L56" s="72"/>
      <c r="M56" s="82">
        <v>0</v>
      </c>
      <c r="N56" s="83">
        <v>0.7</v>
      </c>
      <c r="O56" s="84">
        <v>0</v>
      </c>
      <c r="P56" s="85">
        <v>0</v>
      </c>
      <c r="Q56" s="83">
        <v>0</v>
      </c>
      <c r="R56" s="83">
        <v>0</v>
      </c>
      <c r="S56" s="83">
        <v>0</v>
      </c>
      <c r="T56" s="86">
        <v>0</v>
      </c>
      <c r="U56" s="85">
        <v>0</v>
      </c>
      <c r="V56" s="83">
        <v>0</v>
      </c>
      <c r="W56" s="83">
        <v>0</v>
      </c>
      <c r="X56" s="83">
        <v>0</v>
      </c>
      <c r="Y56" s="84">
        <v>0</v>
      </c>
      <c r="Z56" s="85">
        <v>0</v>
      </c>
      <c r="AA56" s="83">
        <v>0</v>
      </c>
      <c r="AB56" s="83">
        <v>0</v>
      </c>
      <c r="AC56" s="83">
        <v>0</v>
      </c>
      <c r="AD56" s="83">
        <v>0</v>
      </c>
      <c r="AE56" s="84">
        <v>0</v>
      </c>
      <c r="AF56" s="85">
        <v>0</v>
      </c>
      <c r="AG56" s="83">
        <v>0</v>
      </c>
      <c r="AH56" s="83">
        <v>0</v>
      </c>
      <c r="AI56" s="83">
        <v>0</v>
      </c>
      <c r="AJ56" s="83">
        <v>0</v>
      </c>
      <c r="AK56" s="83">
        <v>0</v>
      </c>
      <c r="AL56" s="86">
        <v>0</v>
      </c>
      <c r="AM56" s="32"/>
    </row>
    <row r="57" spans="1:39" s="4" customFormat="1" ht="18" customHeight="1" thickBot="1">
      <c r="A57" s="168"/>
      <c r="B57" s="169"/>
      <c r="C57" s="169"/>
      <c r="D57" s="161" t="s">
        <v>67</v>
      </c>
      <c r="E57" s="162"/>
      <c r="F57" s="162"/>
      <c r="G57" s="162"/>
      <c r="H57" s="162"/>
      <c r="I57" s="162"/>
      <c r="J57" s="162"/>
      <c r="K57" s="162"/>
      <c r="L57" s="163"/>
      <c r="M57" s="73">
        <f t="shared" ref="M57:AL57" si="9">SUM(M55:M55)</f>
        <v>0</v>
      </c>
      <c r="N57" s="73">
        <f t="shared" si="9"/>
        <v>0.3</v>
      </c>
      <c r="O57" s="74">
        <f t="shared" si="9"/>
        <v>0</v>
      </c>
      <c r="P57" s="75">
        <f t="shared" si="9"/>
        <v>0</v>
      </c>
      <c r="Q57" s="73">
        <f t="shared" si="9"/>
        <v>0</v>
      </c>
      <c r="R57" s="73">
        <f t="shared" si="9"/>
        <v>0</v>
      </c>
      <c r="S57" s="73">
        <f t="shared" si="9"/>
        <v>0</v>
      </c>
      <c r="T57" s="76">
        <f t="shared" si="9"/>
        <v>0</v>
      </c>
      <c r="U57" s="75">
        <f t="shared" si="9"/>
        <v>0</v>
      </c>
      <c r="V57" s="73">
        <f t="shared" si="9"/>
        <v>0</v>
      </c>
      <c r="W57" s="73">
        <f t="shared" si="9"/>
        <v>0</v>
      </c>
      <c r="X57" s="73">
        <f t="shared" si="9"/>
        <v>0</v>
      </c>
      <c r="Y57" s="74">
        <f t="shared" si="9"/>
        <v>0</v>
      </c>
      <c r="Z57" s="75">
        <f t="shared" si="9"/>
        <v>0</v>
      </c>
      <c r="AA57" s="73">
        <f t="shared" si="9"/>
        <v>0</v>
      </c>
      <c r="AB57" s="73">
        <f t="shared" si="9"/>
        <v>0</v>
      </c>
      <c r="AC57" s="73">
        <f t="shared" si="9"/>
        <v>0</v>
      </c>
      <c r="AD57" s="73">
        <f t="shared" si="9"/>
        <v>0</v>
      </c>
      <c r="AE57" s="74">
        <f t="shared" si="9"/>
        <v>0</v>
      </c>
      <c r="AF57" s="75">
        <f t="shared" si="9"/>
        <v>0</v>
      </c>
      <c r="AG57" s="73">
        <f t="shared" si="9"/>
        <v>0</v>
      </c>
      <c r="AH57" s="73">
        <f t="shared" si="9"/>
        <v>0</v>
      </c>
      <c r="AI57" s="73">
        <f t="shared" si="9"/>
        <v>0</v>
      </c>
      <c r="AJ57" s="91">
        <f t="shared" si="9"/>
        <v>0</v>
      </c>
      <c r="AK57" s="91">
        <f t="shared" si="9"/>
        <v>0</v>
      </c>
      <c r="AL57" s="76">
        <f t="shared" si="9"/>
        <v>0</v>
      </c>
      <c r="AM57" s="32" t="str">
        <f t="shared" ref="AM57:AM97" si="10">_xlfn.TEXTJOIN(", ",TRUE,
  IF(M57&gt;0,M$3&amp;": "&amp;TEXT(M57,"0%"),""),
  IF(N57&gt;0,N$3&amp;": "&amp;TEXT(N57,"0%"),""),
  IF(O57&gt;0,O$3&amp;": "&amp;TEXT(O57,"0%"),""),
  IF(P57&gt;0,P$3&amp;": "&amp;TEXT(P57,"0%"),""),
  IF(Q57&gt;0,Q$3&amp;": "&amp;TEXT(Q57,"0%"),""),
  IF(R57&gt;0,R$3&amp;": "&amp;TEXT(R57,"0%"),""),
  IF(S57&gt;0,S$3&amp;": "&amp;TEXT(S57,"0%"),""),
  IF(T57&gt;0,T$3&amp;": "&amp;TEXT(T57,"0%"),""),
  IF(U57&gt;0,U$3&amp;": "&amp;TEXT(U57,"0%"),""),
  IF(V57&gt;0,V$3&amp;": "&amp;TEXT(V57,"0%"),""),
  IF(W57&gt;0,W$3&amp;": "&amp;TEXT(W57,"0%"),""),
  IF(X57&gt;0,X$3&amp;": "&amp;TEXT(X57,"0%"),""),
  IF(Y57&gt;0,Y$3&amp;": "&amp;TEXT(Y57,"0%"),""),
  IF(Z57&gt;0,Z$3&amp;": "&amp;TEXT(Z57,"0%"),""),
  IF(AA57&gt;0,AA$3&amp;": "&amp;TEXT(AA57,"0%"),""),
  IF(AB57&gt;0,AB$3&amp;": "&amp;TEXT(AB57,"0%"),""),
  IF(AC57&gt;0,AC$3&amp;": "&amp;TEXT(AC57,"0%"),""),
  IF(AD57&gt;0,AD$3&amp;": "&amp;TEXT(AD57,"0%"),""),
  IF(AE57&gt;0,AE$3&amp;": "&amp;TEXT(AE57,"0%"),""),
  IF(AF57&gt;0,AF$3&amp;": "&amp;TEXT(AF57,"0%"),""),
  IF(AG57&gt;0,AG$3&amp;": "&amp;TEXT(AG57,"0%"),""),
  IF(AH57&gt;0,AH$3&amp;": "&amp;TEXT(AH57,"0%"),""),
  IF(AI57&gt;0,AI$3&amp;": "&amp;TEXT(AI57,"0%"),""),
  IF(AL57&gt;0,AL$3&amp;": "&amp;TEXT(AL57,"0%"),"")
)</f>
        <v>Johannes: 30%</v>
      </c>
    </row>
    <row r="58" spans="1:39" s="4" customFormat="1" ht="81.75" customHeight="1" thickBot="1">
      <c r="A58" s="124" t="s">
        <v>182</v>
      </c>
      <c r="B58" s="128" t="s">
        <v>38</v>
      </c>
      <c r="C58" s="120" t="s">
        <v>46</v>
      </c>
      <c r="D58" s="61" t="s">
        <v>183</v>
      </c>
      <c r="E58" s="61" t="s">
        <v>48</v>
      </c>
      <c r="F58" s="61" t="s">
        <v>106</v>
      </c>
      <c r="G58" s="61" t="s">
        <v>184</v>
      </c>
      <c r="H58" s="50" t="s">
        <v>185</v>
      </c>
      <c r="I58" s="50" t="s">
        <v>186</v>
      </c>
      <c r="J58" s="50" t="s">
        <v>187</v>
      </c>
      <c r="K58" s="61" t="s">
        <v>188</v>
      </c>
      <c r="L58" s="61" t="s">
        <v>189</v>
      </c>
      <c r="M58" s="62">
        <v>0</v>
      </c>
      <c r="N58" s="62">
        <v>0</v>
      </c>
      <c r="O58" s="63">
        <v>0</v>
      </c>
      <c r="P58" s="64">
        <v>0</v>
      </c>
      <c r="Q58" s="62">
        <v>0</v>
      </c>
      <c r="R58" s="62">
        <v>0</v>
      </c>
      <c r="S58" s="62">
        <v>0</v>
      </c>
      <c r="T58" s="65">
        <v>0</v>
      </c>
      <c r="U58" s="64">
        <v>0</v>
      </c>
      <c r="V58" s="62">
        <v>0</v>
      </c>
      <c r="W58" s="62">
        <v>0</v>
      </c>
      <c r="X58" s="62">
        <v>0</v>
      </c>
      <c r="Y58" s="63">
        <v>0</v>
      </c>
      <c r="Z58" s="64">
        <v>0</v>
      </c>
      <c r="AA58" s="62">
        <v>0</v>
      </c>
      <c r="AB58" s="62">
        <v>0</v>
      </c>
      <c r="AC58" s="62">
        <v>0</v>
      </c>
      <c r="AD58" s="62">
        <v>0</v>
      </c>
      <c r="AE58" s="63">
        <v>0</v>
      </c>
      <c r="AF58" s="64">
        <v>0</v>
      </c>
      <c r="AG58" s="62">
        <v>0</v>
      </c>
      <c r="AH58" s="62">
        <v>0</v>
      </c>
      <c r="AI58" s="62">
        <v>0.15</v>
      </c>
      <c r="AJ58" s="62">
        <v>0</v>
      </c>
      <c r="AK58" s="62">
        <v>0</v>
      </c>
      <c r="AL58" s="65">
        <v>0</v>
      </c>
      <c r="AM58" s="32" t="str">
        <f t="shared" si="10"/>
        <v>Camilo: 15%</v>
      </c>
    </row>
    <row r="59" spans="1:39" s="4" customFormat="1" ht="72.599999999999994">
      <c r="A59" s="125"/>
      <c r="B59" s="129"/>
      <c r="C59" s="121"/>
      <c r="D59" s="52" t="s">
        <v>190</v>
      </c>
      <c r="E59" s="52" t="s">
        <v>48</v>
      </c>
      <c r="F59" s="52" t="s">
        <v>191</v>
      </c>
      <c r="G59" s="52" t="s">
        <v>192</v>
      </c>
      <c r="H59" s="51" t="s">
        <v>193</v>
      </c>
      <c r="I59" s="51" t="s">
        <v>194</v>
      </c>
      <c r="J59" s="51" t="s">
        <v>195</v>
      </c>
      <c r="K59" s="52" t="s">
        <v>196</v>
      </c>
      <c r="L59" s="61" t="s">
        <v>189</v>
      </c>
      <c r="M59" s="66">
        <v>0</v>
      </c>
      <c r="N59" s="66">
        <v>0</v>
      </c>
      <c r="O59" s="67">
        <v>0</v>
      </c>
      <c r="P59" s="68">
        <v>0</v>
      </c>
      <c r="Q59" s="66">
        <v>0</v>
      </c>
      <c r="R59" s="66">
        <v>0</v>
      </c>
      <c r="S59" s="66">
        <v>0</v>
      </c>
      <c r="T59" s="69">
        <v>0</v>
      </c>
      <c r="U59" s="68">
        <v>0</v>
      </c>
      <c r="V59" s="66">
        <v>0</v>
      </c>
      <c r="W59" s="66">
        <v>0</v>
      </c>
      <c r="X59" s="66">
        <v>0</v>
      </c>
      <c r="Y59" s="67">
        <v>0</v>
      </c>
      <c r="Z59" s="68">
        <v>0</v>
      </c>
      <c r="AA59" s="66">
        <v>0</v>
      </c>
      <c r="AB59" s="66">
        <v>0</v>
      </c>
      <c r="AC59" s="66">
        <v>0</v>
      </c>
      <c r="AD59" s="66">
        <v>0</v>
      </c>
      <c r="AE59" s="67">
        <v>0</v>
      </c>
      <c r="AF59" s="68">
        <v>0</v>
      </c>
      <c r="AG59" s="66">
        <v>0</v>
      </c>
      <c r="AH59" s="66">
        <v>0</v>
      </c>
      <c r="AI59" s="66">
        <v>0.2</v>
      </c>
      <c r="AJ59" s="66">
        <v>0</v>
      </c>
      <c r="AK59" s="66">
        <v>0</v>
      </c>
      <c r="AL59" s="69">
        <v>0</v>
      </c>
      <c r="AM59" s="32" t="str">
        <f t="shared" si="10"/>
        <v>Camilo: 20%</v>
      </c>
    </row>
    <row r="60" spans="1:39" s="4" customFormat="1" ht="72.599999999999994">
      <c r="A60" s="125"/>
      <c r="B60" s="129"/>
      <c r="C60" s="121"/>
      <c r="D60" s="52" t="s">
        <v>197</v>
      </c>
      <c r="E60" s="52" t="s">
        <v>65</v>
      </c>
      <c r="F60" s="52" t="s">
        <v>198</v>
      </c>
      <c r="G60" s="52" t="s">
        <v>199</v>
      </c>
      <c r="H60" s="51" t="s">
        <v>200</v>
      </c>
      <c r="I60" s="51" t="s">
        <v>201</v>
      </c>
      <c r="J60" s="51" t="s">
        <v>202</v>
      </c>
      <c r="K60" s="52" t="s">
        <v>203</v>
      </c>
      <c r="L60" s="52" t="s">
        <v>204</v>
      </c>
      <c r="M60" s="66">
        <v>0</v>
      </c>
      <c r="N60" s="66">
        <v>0</v>
      </c>
      <c r="O60" s="67">
        <v>0</v>
      </c>
      <c r="P60" s="68">
        <v>0</v>
      </c>
      <c r="Q60" s="66">
        <v>0</v>
      </c>
      <c r="R60" s="66">
        <v>0</v>
      </c>
      <c r="S60" s="66">
        <v>0</v>
      </c>
      <c r="T60" s="69">
        <v>0</v>
      </c>
      <c r="U60" s="68">
        <v>0</v>
      </c>
      <c r="V60" s="66">
        <v>0</v>
      </c>
      <c r="W60" s="66">
        <v>0</v>
      </c>
      <c r="X60" s="66">
        <v>0</v>
      </c>
      <c r="Y60" s="67">
        <v>0</v>
      </c>
      <c r="Z60" s="68">
        <v>0</v>
      </c>
      <c r="AA60" s="66">
        <v>0</v>
      </c>
      <c r="AB60" s="66">
        <v>0</v>
      </c>
      <c r="AC60" s="66">
        <v>0</v>
      </c>
      <c r="AD60" s="66">
        <v>0</v>
      </c>
      <c r="AE60" s="67">
        <v>0</v>
      </c>
      <c r="AF60" s="68">
        <v>0</v>
      </c>
      <c r="AG60" s="66">
        <v>0</v>
      </c>
      <c r="AH60" s="66">
        <v>0</v>
      </c>
      <c r="AI60" s="66">
        <v>0.15</v>
      </c>
      <c r="AJ60" s="66">
        <v>0</v>
      </c>
      <c r="AK60" s="66">
        <v>0</v>
      </c>
      <c r="AL60" s="69">
        <v>0</v>
      </c>
      <c r="AM60" s="32" t="str">
        <f t="shared" si="10"/>
        <v>Camilo: 15%</v>
      </c>
    </row>
    <row r="61" spans="1:39" s="4" customFormat="1" ht="15" thickBot="1">
      <c r="A61" s="126"/>
      <c r="B61" s="130"/>
      <c r="C61" s="122"/>
      <c r="D61" s="161" t="s">
        <v>67</v>
      </c>
      <c r="E61" s="162"/>
      <c r="F61" s="162"/>
      <c r="G61" s="162"/>
      <c r="H61" s="162"/>
      <c r="I61" s="162"/>
      <c r="J61" s="162"/>
      <c r="K61" s="162"/>
      <c r="L61" s="163"/>
      <c r="M61" s="54">
        <f t="shared" ref="M61:AL61" si="11">SUM(M58:M60)</f>
        <v>0</v>
      </c>
      <c r="N61" s="54">
        <f t="shared" si="11"/>
        <v>0</v>
      </c>
      <c r="O61" s="55">
        <f t="shared" si="11"/>
        <v>0</v>
      </c>
      <c r="P61" s="56">
        <f t="shared" si="11"/>
        <v>0</v>
      </c>
      <c r="Q61" s="54">
        <f t="shared" si="11"/>
        <v>0</v>
      </c>
      <c r="R61" s="54">
        <f t="shared" si="11"/>
        <v>0</v>
      </c>
      <c r="S61" s="54">
        <f t="shared" si="11"/>
        <v>0</v>
      </c>
      <c r="T61" s="57">
        <f t="shared" si="11"/>
        <v>0</v>
      </c>
      <c r="U61" s="56">
        <f t="shared" si="11"/>
        <v>0</v>
      </c>
      <c r="V61" s="54">
        <f t="shared" si="11"/>
        <v>0</v>
      </c>
      <c r="W61" s="54">
        <f t="shared" si="11"/>
        <v>0</v>
      </c>
      <c r="X61" s="54">
        <f t="shared" si="11"/>
        <v>0</v>
      </c>
      <c r="Y61" s="55">
        <f t="shared" si="11"/>
        <v>0</v>
      </c>
      <c r="Z61" s="56">
        <f t="shared" si="11"/>
        <v>0</v>
      </c>
      <c r="AA61" s="54">
        <f t="shared" si="11"/>
        <v>0</v>
      </c>
      <c r="AB61" s="54">
        <f t="shared" si="11"/>
        <v>0</v>
      </c>
      <c r="AC61" s="54">
        <f t="shared" si="11"/>
        <v>0</v>
      </c>
      <c r="AD61" s="54">
        <f t="shared" si="11"/>
        <v>0</v>
      </c>
      <c r="AE61" s="55">
        <f t="shared" si="11"/>
        <v>0</v>
      </c>
      <c r="AF61" s="56">
        <f t="shared" si="11"/>
        <v>0</v>
      </c>
      <c r="AG61" s="54">
        <f t="shared" si="11"/>
        <v>0</v>
      </c>
      <c r="AH61" s="54">
        <f t="shared" si="11"/>
        <v>0</v>
      </c>
      <c r="AI61" s="54">
        <f t="shared" si="11"/>
        <v>0.5</v>
      </c>
      <c r="AJ61" s="58">
        <f t="shared" si="11"/>
        <v>0</v>
      </c>
      <c r="AK61" s="58">
        <f t="shared" si="11"/>
        <v>0</v>
      </c>
      <c r="AL61" s="57">
        <f t="shared" si="11"/>
        <v>0</v>
      </c>
      <c r="AM61" s="32" t="str">
        <f t="shared" si="10"/>
        <v>Camilo: 50%</v>
      </c>
    </row>
    <row r="62" spans="1:39" s="4" customFormat="1" ht="61.5" customHeight="1" thickBot="1">
      <c r="A62" s="124" t="s">
        <v>205</v>
      </c>
      <c r="B62" s="128" t="s">
        <v>38</v>
      </c>
      <c r="C62" s="120" t="s">
        <v>46</v>
      </c>
      <c r="D62" s="61" t="s">
        <v>206</v>
      </c>
      <c r="E62" s="61" t="s">
        <v>48</v>
      </c>
      <c r="F62" s="61" t="s">
        <v>207</v>
      </c>
      <c r="G62" s="61" t="s">
        <v>208</v>
      </c>
      <c r="H62" s="50" t="s">
        <v>209</v>
      </c>
      <c r="I62" s="50" t="s">
        <v>210</v>
      </c>
      <c r="J62" s="50" t="s">
        <v>211</v>
      </c>
      <c r="K62" s="61" t="s">
        <v>212</v>
      </c>
      <c r="L62" s="61" t="s">
        <v>213</v>
      </c>
      <c r="M62" s="62">
        <v>0</v>
      </c>
      <c r="N62" s="62">
        <v>0</v>
      </c>
      <c r="O62" s="63">
        <v>0</v>
      </c>
      <c r="P62" s="64">
        <v>0</v>
      </c>
      <c r="Q62" s="62">
        <v>0</v>
      </c>
      <c r="R62" s="62">
        <v>0</v>
      </c>
      <c r="S62" s="62">
        <v>0</v>
      </c>
      <c r="T62" s="65">
        <v>0</v>
      </c>
      <c r="U62" s="64">
        <v>0</v>
      </c>
      <c r="V62" s="62">
        <v>0</v>
      </c>
      <c r="W62" s="62">
        <v>0</v>
      </c>
      <c r="X62" s="62">
        <v>0</v>
      </c>
      <c r="Y62" s="63">
        <v>0</v>
      </c>
      <c r="Z62" s="64">
        <v>0</v>
      </c>
      <c r="AA62" s="62">
        <v>0</v>
      </c>
      <c r="AB62" s="62">
        <v>0</v>
      </c>
      <c r="AC62" s="62">
        <v>0</v>
      </c>
      <c r="AD62" s="62">
        <v>0</v>
      </c>
      <c r="AE62" s="63">
        <v>0</v>
      </c>
      <c r="AF62" s="64">
        <v>0</v>
      </c>
      <c r="AG62" s="62">
        <v>0</v>
      </c>
      <c r="AH62" s="62">
        <v>0.1</v>
      </c>
      <c r="AI62" s="62">
        <v>0</v>
      </c>
      <c r="AJ62" s="62">
        <v>0.05</v>
      </c>
      <c r="AK62" s="62">
        <v>0</v>
      </c>
      <c r="AL62" s="65">
        <v>0</v>
      </c>
      <c r="AM62" s="32" t="str">
        <f t="shared" si="10"/>
        <v>Di: 10%</v>
      </c>
    </row>
    <row r="63" spans="1:39" s="4" customFormat="1" ht="102" thickBot="1">
      <c r="A63" s="125"/>
      <c r="B63" s="129"/>
      <c r="C63" s="121"/>
      <c r="D63" s="52" t="s">
        <v>214</v>
      </c>
      <c r="E63" s="52" t="s">
        <v>48</v>
      </c>
      <c r="F63" s="52" t="s">
        <v>106</v>
      </c>
      <c r="G63" s="52" t="s">
        <v>215</v>
      </c>
      <c r="H63" s="51" t="s">
        <v>216</v>
      </c>
      <c r="I63" s="51" t="s">
        <v>217</v>
      </c>
      <c r="J63" s="50" t="s">
        <v>218</v>
      </c>
      <c r="K63" s="52" t="s">
        <v>219</v>
      </c>
      <c r="L63" s="61" t="s">
        <v>213</v>
      </c>
      <c r="M63" s="66">
        <v>0</v>
      </c>
      <c r="N63" s="66">
        <v>0</v>
      </c>
      <c r="O63" s="67">
        <v>0</v>
      </c>
      <c r="P63" s="68">
        <v>0</v>
      </c>
      <c r="Q63" s="66">
        <v>0</v>
      </c>
      <c r="R63" s="66">
        <v>0</v>
      </c>
      <c r="S63" s="66">
        <v>0</v>
      </c>
      <c r="T63" s="69">
        <v>0</v>
      </c>
      <c r="U63" s="68">
        <v>0</v>
      </c>
      <c r="V63" s="66">
        <v>0</v>
      </c>
      <c r="W63" s="66">
        <v>0</v>
      </c>
      <c r="X63" s="66">
        <v>0</v>
      </c>
      <c r="Y63" s="67">
        <v>0</v>
      </c>
      <c r="Z63" s="68">
        <v>0</v>
      </c>
      <c r="AA63" s="66">
        <v>0</v>
      </c>
      <c r="AB63" s="66">
        <v>0</v>
      </c>
      <c r="AC63" s="66">
        <v>0</v>
      </c>
      <c r="AD63" s="66">
        <v>0</v>
      </c>
      <c r="AE63" s="67">
        <v>0</v>
      </c>
      <c r="AF63" s="68">
        <v>0</v>
      </c>
      <c r="AG63" s="66">
        <v>0</v>
      </c>
      <c r="AH63" s="66">
        <v>0.4</v>
      </c>
      <c r="AI63" s="66">
        <v>0</v>
      </c>
      <c r="AJ63" s="66">
        <v>0</v>
      </c>
      <c r="AK63" s="66">
        <v>0</v>
      </c>
      <c r="AL63" s="69">
        <v>0</v>
      </c>
      <c r="AM63" s="32" t="str">
        <f t="shared" si="10"/>
        <v>Di: 40%</v>
      </c>
    </row>
    <row r="64" spans="1:39" s="4" customFormat="1" ht="159.6">
      <c r="A64" s="125"/>
      <c r="B64" s="129"/>
      <c r="C64" s="121"/>
      <c r="D64" s="52" t="s">
        <v>220</v>
      </c>
      <c r="E64" s="52" t="s">
        <v>221</v>
      </c>
      <c r="F64" s="52" t="s">
        <v>124</v>
      </c>
      <c r="G64" s="52" t="s">
        <v>54</v>
      </c>
      <c r="H64" s="51" t="s">
        <v>222</v>
      </c>
      <c r="I64" s="51" t="s">
        <v>223</v>
      </c>
      <c r="J64" s="51" t="s">
        <v>224</v>
      </c>
      <c r="K64" s="52" t="s">
        <v>225</v>
      </c>
      <c r="L64" s="61" t="s">
        <v>213</v>
      </c>
      <c r="M64" s="66">
        <v>0</v>
      </c>
      <c r="N64" s="66">
        <v>0</v>
      </c>
      <c r="O64" s="67">
        <v>0</v>
      </c>
      <c r="P64" s="68">
        <v>0</v>
      </c>
      <c r="Q64" s="66">
        <v>0</v>
      </c>
      <c r="R64" s="66">
        <v>0</v>
      </c>
      <c r="S64" s="66">
        <v>0</v>
      </c>
      <c r="T64" s="69">
        <v>0</v>
      </c>
      <c r="U64" s="68">
        <v>0</v>
      </c>
      <c r="V64" s="66">
        <v>0</v>
      </c>
      <c r="W64" s="66">
        <v>0</v>
      </c>
      <c r="X64" s="66">
        <v>0</v>
      </c>
      <c r="Y64" s="67">
        <v>0</v>
      </c>
      <c r="Z64" s="68">
        <v>0</v>
      </c>
      <c r="AA64" s="66">
        <v>0</v>
      </c>
      <c r="AB64" s="66">
        <v>0</v>
      </c>
      <c r="AC64" s="66">
        <v>0</v>
      </c>
      <c r="AD64" s="66">
        <v>0</v>
      </c>
      <c r="AE64" s="67">
        <v>0</v>
      </c>
      <c r="AF64" s="68">
        <v>0</v>
      </c>
      <c r="AG64" s="66">
        <v>0</v>
      </c>
      <c r="AH64" s="66">
        <v>0.5</v>
      </c>
      <c r="AI64" s="66">
        <v>0</v>
      </c>
      <c r="AJ64" s="66">
        <v>0</v>
      </c>
      <c r="AK64" s="66">
        <v>0</v>
      </c>
      <c r="AL64" s="69">
        <v>0</v>
      </c>
      <c r="AM64" s="32" t="str">
        <f t="shared" si="10"/>
        <v>Di: 50%</v>
      </c>
    </row>
    <row r="65" spans="1:39" s="4" customFormat="1" ht="130.5">
      <c r="A65" s="125"/>
      <c r="B65" s="129"/>
      <c r="C65" s="121"/>
      <c r="D65" s="52" t="s">
        <v>226</v>
      </c>
      <c r="E65" s="52" t="s">
        <v>221</v>
      </c>
      <c r="F65" s="52" t="s">
        <v>124</v>
      </c>
      <c r="G65" s="52" t="s">
        <v>227</v>
      </c>
      <c r="H65" s="51" t="s">
        <v>228</v>
      </c>
      <c r="I65" s="51" t="s">
        <v>229</v>
      </c>
      <c r="J65" s="60"/>
      <c r="K65" s="59" t="s">
        <v>230</v>
      </c>
      <c r="L65" s="59" t="s">
        <v>231</v>
      </c>
      <c r="M65" s="66">
        <v>0</v>
      </c>
      <c r="N65" s="66">
        <v>0</v>
      </c>
      <c r="O65" s="67">
        <v>0</v>
      </c>
      <c r="P65" s="68">
        <v>0</v>
      </c>
      <c r="Q65" s="66">
        <v>0</v>
      </c>
      <c r="R65" s="66">
        <v>0</v>
      </c>
      <c r="S65" s="66">
        <v>0</v>
      </c>
      <c r="T65" s="69">
        <v>0</v>
      </c>
      <c r="U65" s="68">
        <v>0</v>
      </c>
      <c r="V65" s="66">
        <v>0</v>
      </c>
      <c r="W65" s="66">
        <v>0</v>
      </c>
      <c r="X65" s="66">
        <v>0</v>
      </c>
      <c r="Y65" s="67">
        <v>0</v>
      </c>
      <c r="Z65" s="68">
        <v>0</v>
      </c>
      <c r="AA65" s="66">
        <v>0</v>
      </c>
      <c r="AB65" s="66">
        <v>0</v>
      </c>
      <c r="AC65" s="66">
        <v>0</v>
      </c>
      <c r="AD65" s="66">
        <v>0</v>
      </c>
      <c r="AE65" s="67">
        <v>0</v>
      </c>
      <c r="AF65" s="68">
        <v>0</v>
      </c>
      <c r="AG65" s="66">
        <v>0</v>
      </c>
      <c r="AH65" s="66">
        <v>0</v>
      </c>
      <c r="AI65" s="66">
        <v>0</v>
      </c>
      <c r="AJ65" s="66">
        <v>0</v>
      </c>
      <c r="AK65" s="66">
        <v>0.3</v>
      </c>
      <c r="AL65" s="69">
        <v>0</v>
      </c>
      <c r="AM65" s="32" t="str">
        <f t="shared" si="10"/>
        <v/>
      </c>
    </row>
    <row r="66" spans="1:39" s="4" customFormat="1" ht="15" thickBot="1">
      <c r="A66" s="126"/>
      <c r="B66" s="130"/>
      <c r="C66" s="122"/>
      <c r="D66" s="161" t="s">
        <v>67</v>
      </c>
      <c r="E66" s="162"/>
      <c r="F66" s="162"/>
      <c r="G66" s="162"/>
      <c r="H66" s="162"/>
      <c r="I66" s="162"/>
      <c r="J66" s="162"/>
      <c r="K66" s="162"/>
      <c r="L66" s="163"/>
      <c r="M66" s="54">
        <f t="shared" ref="M66:AL66" si="12">SUM(M62:M65)</f>
        <v>0</v>
      </c>
      <c r="N66" s="54">
        <f t="shared" si="12"/>
        <v>0</v>
      </c>
      <c r="O66" s="55">
        <f t="shared" si="12"/>
        <v>0</v>
      </c>
      <c r="P66" s="56">
        <f t="shared" si="12"/>
        <v>0</v>
      </c>
      <c r="Q66" s="54">
        <f t="shared" si="12"/>
        <v>0</v>
      </c>
      <c r="R66" s="54">
        <f t="shared" si="12"/>
        <v>0</v>
      </c>
      <c r="S66" s="54">
        <f t="shared" si="12"/>
        <v>0</v>
      </c>
      <c r="T66" s="57">
        <f t="shared" si="12"/>
        <v>0</v>
      </c>
      <c r="U66" s="56">
        <f t="shared" si="12"/>
        <v>0</v>
      </c>
      <c r="V66" s="54">
        <f t="shared" si="12"/>
        <v>0</v>
      </c>
      <c r="W66" s="54">
        <f t="shared" si="12"/>
        <v>0</v>
      </c>
      <c r="X66" s="54">
        <f t="shared" si="12"/>
        <v>0</v>
      </c>
      <c r="Y66" s="55">
        <f t="shared" si="12"/>
        <v>0</v>
      </c>
      <c r="Z66" s="56">
        <f t="shared" si="12"/>
        <v>0</v>
      </c>
      <c r="AA66" s="54">
        <f t="shared" si="12"/>
        <v>0</v>
      </c>
      <c r="AB66" s="54">
        <f t="shared" si="12"/>
        <v>0</v>
      </c>
      <c r="AC66" s="54">
        <f t="shared" si="12"/>
        <v>0</v>
      </c>
      <c r="AD66" s="54">
        <f t="shared" si="12"/>
        <v>0</v>
      </c>
      <c r="AE66" s="55">
        <f t="shared" si="12"/>
        <v>0</v>
      </c>
      <c r="AF66" s="56">
        <f t="shared" si="12"/>
        <v>0</v>
      </c>
      <c r="AG66" s="54">
        <f t="shared" si="12"/>
        <v>0</v>
      </c>
      <c r="AH66" s="54">
        <f t="shared" si="12"/>
        <v>1</v>
      </c>
      <c r="AI66" s="54">
        <f t="shared" si="12"/>
        <v>0</v>
      </c>
      <c r="AJ66" s="58">
        <f t="shared" si="12"/>
        <v>0.05</v>
      </c>
      <c r="AK66" s="58">
        <f t="shared" si="12"/>
        <v>0.3</v>
      </c>
      <c r="AL66" s="57">
        <f t="shared" si="12"/>
        <v>0</v>
      </c>
      <c r="AM66" s="32" t="str">
        <f t="shared" si="10"/>
        <v>Di: 100%</v>
      </c>
    </row>
    <row r="67" spans="1:39" s="4" customFormat="1" ht="137.25" customHeight="1">
      <c r="A67" s="124" t="s">
        <v>232</v>
      </c>
      <c r="B67" s="128" t="s">
        <v>38</v>
      </c>
      <c r="C67" s="120" t="s">
        <v>46</v>
      </c>
      <c r="D67" s="61" t="s">
        <v>233</v>
      </c>
      <c r="E67" s="61" t="s">
        <v>48</v>
      </c>
      <c r="F67" s="61" t="s">
        <v>106</v>
      </c>
      <c r="G67" s="61" t="s">
        <v>234</v>
      </c>
      <c r="H67" s="50" t="s">
        <v>235</v>
      </c>
      <c r="I67" s="50" t="s">
        <v>236</v>
      </c>
      <c r="J67" s="50" t="s">
        <v>237</v>
      </c>
      <c r="K67" s="61" t="s">
        <v>212</v>
      </c>
      <c r="L67" s="61" t="s">
        <v>238</v>
      </c>
      <c r="M67" s="62">
        <v>0</v>
      </c>
      <c r="N67" s="62">
        <v>0</v>
      </c>
      <c r="O67" s="63">
        <v>0</v>
      </c>
      <c r="P67" s="64">
        <v>0</v>
      </c>
      <c r="Q67" s="62">
        <v>0</v>
      </c>
      <c r="R67" s="62">
        <v>0</v>
      </c>
      <c r="S67" s="62">
        <v>0</v>
      </c>
      <c r="T67" s="65">
        <v>0</v>
      </c>
      <c r="U67" s="64">
        <v>0</v>
      </c>
      <c r="V67" s="62">
        <v>0</v>
      </c>
      <c r="W67" s="62">
        <v>0</v>
      </c>
      <c r="X67" s="62">
        <v>0</v>
      </c>
      <c r="Y67" s="63">
        <v>0</v>
      </c>
      <c r="Z67" s="64">
        <v>0</v>
      </c>
      <c r="AA67" s="62">
        <v>0</v>
      </c>
      <c r="AB67" s="62">
        <v>0</v>
      </c>
      <c r="AC67" s="62">
        <v>0</v>
      </c>
      <c r="AD67" s="62">
        <v>0</v>
      </c>
      <c r="AE67" s="63">
        <v>0</v>
      </c>
      <c r="AF67" s="64">
        <v>0</v>
      </c>
      <c r="AG67" s="62">
        <v>0</v>
      </c>
      <c r="AH67" s="62">
        <v>0</v>
      </c>
      <c r="AI67" s="62">
        <v>0</v>
      </c>
      <c r="AJ67" s="62">
        <v>0</v>
      </c>
      <c r="AK67" s="62">
        <v>0</v>
      </c>
      <c r="AL67" s="65">
        <v>1</v>
      </c>
      <c r="AM67" s="32" t="str">
        <f t="shared" si="10"/>
        <v>Carson: 100%</v>
      </c>
    </row>
    <row r="68" spans="1:39" s="4" customFormat="1" ht="87">
      <c r="A68" s="125"/>
      <c r="B68" s="129"/>
      <c r="C68" s="121"/>
      <c r="D68" s="52" t="s">
        <v>239</v>
      </c>
      <c r="E68" s="52" t="s">
        <v>48</v>
      </c>
      <c r="F68" s="52" t="s">
        <v>124</v>
      </c>
      <c r="G68" s="52" t="s">
        <v>240</v>
      </c>
      <c r="H68" s="51" t="s">
        <v>241</v>
      </c>
      <c r="I68" s="51" t="s">
        <v>242</v>
      </c>
      <c r="J68" s="51" t="s">
        <v>243</v>
      </c>
      <c r="K68" s="59" t="s">
        <v>196</v>
      </c>
      <c r="L68" s="52" t="s">
        <v>244</v>
      </c>
      <c r="M68" s="66">
        <v>0</v>
      </c>
      <c r="N68" s="66">
        <v>0</v>
      </c>
      <c r="O68" s="67">
        <v>0</v>
      </c>
      <c r="P68" s="68">
        <v>0</v>
      </c>
      <c r="Q68" s="66">
        <v>0</v>
      </c>
      <c r="R68" s="66">
        <v>0</v>
      </c>
      <c r="S68" s="66">
        <v>0</v>
      </c>
      <c r="T68" s="69">
        <v>1</v>
      </c>
      <c r="U68" s="68">
        <v>0</v>
      </c>
      <c r="V68" s="66">
        <v>0</v>
      </c>
      <c r="W68" s="66">
        <v>0</v>
      </c>
      <c r="X68" s="66">
        <v>0</v>
      </c>
      <c r="Y68" s="67">
        <v>0</v>
      </c>
      <c r="Z68" s="68">
        <v>0</v>
      </c>
      <c r="AA68" s="66">
        <v>0</v>
      </c>
      <c r="AB68" s="66">
        <v>0</v>
      </c>
      <c r="AC68" s="66">
        <v>0</v>
      </c>
      <c r="AD68" s="66">
        <v>0</v>
      </c>
      <c r="AE68" s="67">
        <v>0</v>
      </c>
      <c r="AF68" s="68">
        <v>0</v>
      </c>
      <c r="AG68" s="66">
        <v>0</v>
      </c>
      <c r="AH68" s="66">
        <v>0</v>
      </c>
      <c r="AI68" s="66">
        <v>0</v>
      </c>
      <c r="AJ68" s="66">
        <v>0</v>
      </c>
      <c r="AK68" s="66">
        <v>0</v>
      </c>
      <c r="AL68" s="69">
        <v>0</v>
      </c>
      <c r="AM68" s="32" t="str">
        <f t="shared" si="10"/>
        <v>Sean: 100%</v>
      </c>
    </row>
    <row r="69" spans="1:39" s="4" customFormat="1" ht="87">
      <c r="A69" s="125"/>
      <c r="B69" s="129"/>
      <c r="C69" s="121"/>
      <c r="D69" s="52" t="s">
        <v>245</v>
      </c>
      <c r="E69" s="52" t="s">
        <v>48</v>
      </c>
      <c r="F69" s="52" t="s">
        <v>149</v>
      </c>
      <c r="G69" s="52" t="s">
        <v>227</v>
      </c>
      <c r="H69" s="51" t="s">
        <v>246</v>
      </c>
      <c r="I69" s="51" t="s">
        <v>247</v>
      </c>
      <c r="J69" s="51" t="s">
        <v>248</v>
      </c>
      <c r="K69" s="52" t="s">
        <v>212</v>
      </c>
      <c r="L69" s="52" t="s">
        <v>249</v>
      </c>
      <c r="M69" s="66">
        <v>0</v>
      </c>
      <c r="N69" s="66">
        <v>0</v>
      </c>
      <c r="O69" s="67">
        <v>0</v>
      </c>
      <c r="P69" s="68">
        <v>0</v>
      </c>
      <c r="Q69" s="66">
        <v>0</v>
      </c>
      <c r="R69" s="66">
        <v>0</v>
      </c>
      <c r="S69" s="66">
        <v>0</v>
      </c>
      <c r="T69" s="69">
        <v>0</v>
      </c>
      <c r="U69" s="68">
        <v>0</v>
      </c>
      <c r="V69" s="66">
        <v>0</v>
      </c>
      <c r="W69" s="66">
        <v>0</v>
      </c>
      <c r="X69" s="66">
        <v>0</v>
      </c>
      <c r="Y69" s="67">
        <v>0</v>
      </c>
      <c r="Z69" s="68">
        <v>0</v>
      </c>
      <c r="AA69" s="66">
        <v>0</v>
      </c>
      <c r="AB69" s="66">
        <v>0</v>
      </c>
      <c r="AC69" s="66">
        <v>0</v>
      </c>
      <c r="AD69" s="66">
        <v>0</v>
      </c>
      <c r="AE69" s="67">
        <v>0</v>
      </c>
      <c r="AF69" s="68">
        <v>0</v>
      </c>
      <c r="AG69" s="66">
        <v>0</v>
      </c>
      <c r="AH69" s="66">
        <v>0</v>
      </c>
      <c r="AI69" s="66">
        <v>0.1</v>
      </c>
      <c r="AJ69" s="66">
        <v>0</v>
      </c>
      <c r="AK69" s="66">
        <v>0</v>
      </c>
      <c r="AL69" s="69">
        <v>0</v>
      </c>
      <c r="AM69" s="32" t="str">
        <f t="shared" si="10"/>
        <v>Camilo: 10%</v>
      </c>
    </row>
    <row r="70" spans="1:39" s="4" customFormat="1" ht="81.75" customHeight="1">
      <c r="A70" s="125"/>
      <c r="B70" s="129"/>
      <c r="C70" s="121"/>
      <c r="D70" s="52" t="s">
        <v>250</v>
      </c>
      <c r="E70" s="52" t="s">
        <v>65</v>
      </c>
      <c r="F70" s="52" t="s">
        <v>106</v>
      </c>
      <c r="G70" s="52" t="s">
        <v>227</v>
      </c>
      <c r="H70" s="51" t="s">
        <v>251</v>
      </c>
      <c r="I70" s="51" t="s">
        <v>252</v>
      </c>
      <c r="J70" s="51" t="s">
        <v>253</v>
      </c>
      <c r="K70" s="52" t="s">
        <v>254</v>
      </c>
      <c r="L70" s="52" t="s">
        <v>249</v>
      </c>
      <c r="M70" s="66">
        <v>0</v>
      </c>
      <c r="N70" s="66">
        <v>0</v>
      </c>
      <c r="O70" s="67">
        <v>0</v>
      </c>
      <c r="P70" s="68">
        <v>0</v>
      </c>
      <c r="Q70" s="66">
        <v>0</v>
      </c>
      <c r="R70" s="66">
        <v>0</v>
      </c>
      <c r="S70" s="66">
        <v>0</v>
      </c>
      <c r="T70" s="69">
        <v>0</v>
      </c>
      <c r="U70" s="68">
        <v>0</v>
      </c>
      <c r="V70" s="66">
        <v>0</v>
      </c>
      <c r="W70" s="66">
        <v>0</v>
      </c>
      <c r="X70" s="66">
        <v>0</v>
      </c>
      <c r="Y70" s="67">
        <v>0</v>
      </c>
      <c r="Z70" s="68">
        <v>0</v>
      </c>
      <c r="AA70" s="66">
        <v>0</v>
      </c>
      <c r="AB70" s="66">
        <v>0</v>
      </c>
      <c r="AC70" s="66">
        <v>0</v>
      </c>
      <c r="AD70" s="66">
        <v>0</v>
      </c>
      <c r="AE70" s="67">
        <v>0</v>
      </c>
      <c r="AF70" s="68">
        <v>0</v>
      </c>
      <c r="AG70" s="66">
        <v>0</v>
      </c>
      <c r="AH70" s="66">
        <v>0</v>
      </c>
      <c r="AI70" s="66">
        <v>0.4</v>
      </c>
      <c r="AJ70" s="66">
        <v>0</v>
      </c>
      <c r="AK70" s="66">
        <v>0</v>
      </c>
      <c r="AL70" s="69">
        <v>0</v>
      </c>
      <c r="AM70" s="32" t="str">
        <f t="shared" si="10"/>
        <v>Camilo: 40%</v>
      </c>
    </row>
    <row r="71" spans="1:39" s="4" customFormat="1" ht="15.75" customHeight="1" thickBot="1">
      <c r="A71" s="126"/>
      <c r="B71" s="130"/>
      <c r="C71" s="122"/>
      <c r="D71" s="161" t="s">
        <v>67</v>
      </c>
      <c r="E71" s="162"/>
      <c r="F71" s="162"/>
      <c r="G71" s="162"/>
      <c r="H71" s="162"/>
      <c r="I71" s="162"/>
      <c r="J71" s="162"/>
      <c r="K71" s="162"/>
      <c r="L71" s="163"/>
      <c r="M71" s="54">
        <f t="shared" ref="M71:AL71" si="13">SUM(M67:M70)</f>
        <v>0</v>
      </c>
      <c r="N71" s="54">
        <f t="shared" si="13"/>
        <v>0</v>
      </c>
      <c r="O71" s="55">
        <f t="shared" si="13"/>
        <v>0</v>
      </c>
      <c r="P71" s="56">
        <f t="shared" si="13"/>
        <v>0</v>
      </c>
      <c r="Q71" s="54">
        <f t="shared" si="13"/>
        <v>0</v>
      </c>
      <c r="R71" s="54">
        <f t="shared" si="13"/>
        <v>0</v>
      </c>
      <c r="S71" s="54">
        <f t="shared" si="13"/>
        <v>0</v>
      </c>
      <c r="T71" s="57">
        <f t="shared" si="13"/>
        <v>1</v>
      </c>
      <c r="U71" s="56">
        <f t="shared" si="13"/>
        <v>0</v>
      </c>
      <c r="V71" s="54">
        <f t="shared" si="13"/>
        <v>0</v>
      </c>
      <c r="W71" s="54">
        <f t="shared" si="13"/>
        <v>0</v>
      </c>
      <c r="X71" s="54">
        <f t="shared" si="13"/>
        <v>0</v>
      </c>
      <c r="Y71" s="55">
        <f t="shared" si="13"/>
        <v>0</v>
      </c>
      <c r="Z71" s="56">
        <f t="shared" si="13"/>
        <v>0</v>
      </c>
      <c r="AA71" s="54">
        <f t="shared" si="13"/>
        <v>0</v>
      </c>
      <c r="AB71" s="54">
        <f t="shared" si="13"/>
        <v>0</v>
      </c>
      <c r="AC71" s="54">
        <f t="shared" si="13"/>
        <v>0</v>
      </c>
      <c r="AD71" s="54">
        <f t="shared" si="13"/>
        <v>0</v>
      </c>
      <c r="AE71" s="55">
        <f t="shared" si="13"/>
        <v>0</v>
      </c>
      <c r="AF71" s="56">
        <f t="shared" si="13"/>
        <v>0</v>
      </c>
      <c r="AG71" s="54">
        <f t="shared" si="13"/>
        <v>0</v>
      </c>
      <c r="AH71" s="54">
        <f t="shared" si="13"/>
        <v>0</v>
      </c>
      <c r="AI71" s="54">
        <f t="shared" si="13"/>
        <v>0.5</v>
      </c>
      <c r="AJ71" s="58">
        <f t="shared" si="13"/>
        <v>0</v>
      </c>
      <c r="AK71" s="58">
        <f t="shared" si="13"/>
        <v>0</v>
      </c>
      <c r="AL71" s="57">
        <f t="shared" si="13"/>
        <v>1</v>
      </c>
      <c r="AM71" s="32" t="str">
        <f t="shared" si="10"/>
        <v>Sean: 100%, Camilo: 50%, Carson: 100%</v>
      </c>
    </row>
    <row r="72" spans="1:39" s="4" customFormat="1" ht="94.5" customHeight="1">
      <c r="A72" s="124" t="s">
        <v>255</v>
      </c>
      <c r="B72" s="128" t="s">
        <v>38</v>
      </c>
      <c r="C72" s="120" t="s">
        <v>46</v>
      </c>
      <c r="D72" s="61" t="s">
        <v>256</v>
      </c>
      <c r="E72" s="61" t="s">
        <v>48</v>
      </c>
      <c r="F72" s="61" t="s">
        <v>149</v>
      </c>
      <c r="G72" s="61" t="s">
        <v>257</v>
      </c>
      <c r="H72" s="50" t="s">
        <v>258</v>
      </c>
      <c r="I72" s="50" t="s">
        <v>259</v>
      </c>
      <c r="J72" s="50" t="s">
        <v>260</v>
      </c>
      <c r="K72" s="61" t="s">
        <v>212</v>
      </c>
      <c r="L72" s="61" t="s">
        <v>261</v>
      </c>
      <c r="M72" s="62">
        <v>0</v>
      </c>
      <c r="N72" s="62">
        <v>0</v>
      </c>
      <c r="O72" s="63">
        <v>0</v>
      </c>
      <c r="P72" s="64">
        <v>0</v>
      </c>
      <c r="Q72" s="62">
        <v>0</v>
      </c>
      <c r="R72" s="62">
        <v>0</v>
      </c>
      <c r="S72" s="62">
        <v>0</v>
      </c>
      <c r="T72" s="65">
        <v>0</v>
      </c>
      <c r="U72" s="64">
        <v>0</v>
      </c>
      <c r="V72" s="62">
        <v>0</v>
      </c>
      <c r="W72" s="62">
        <v>0</v>
      </c>
      <c r="X72" s="62">
        <v>0</v>
      </c>
      <c r="Y72" s="63">
        <v>0</v>
      </c>
      <c r="Z72" s="64">
        <v>0</v>
      </c>
      <c r="AA72" s="62">
        <v>0</v>
      </c>
      <c r="AB72" s="62">
        <v>0</v>
      </c>
      <c r="AC72" s="62">
        <v>0</v>
      </c>
      <c r="AD72" s="62">
        <v>0</v>
      </c>
      <c r="AE72" s="63">
        <v>0</v>
      </c>
      <c r="AF72" s="64">
        <v>0</v>
      </c>
      <c r="AG72" s="62">
        <v>0.1</v>
      </c>
      <c r="AH72" s="62">
        <v>0</v>
      </c>
      <c r="AI72" s="62">
        <v>0</v>
      </c>
      <c r="AJ72" s="62">
        <v>0</v>
      </c>
      <c r="AK72" s="62">
        <v>0</v>
      </c>
      <c r="AL72" s="65">
        <v>0</v>
      </c>
      <c r="AM72" s="32" t="str">
        <f t="shared" si="10"/>
        <v>Jonathan: 10%</v>
      </c>
    </row>
    <row r="73" spans="1:39" s="4" customFormat="1" ht="116.1">
      <c r="A73" s="125"/>
      <c r="B73" s="129"/>
      <c r="C73" s="121"/>
      <c r="D73" s="52" t="s">
        <v>262</v>
      </c>
      <c r="E73" s="52" t="s">
        <v>48</v>
      </c>
      <c r="F73" s="52" t="s">
        <v>106</v>
      </c>
      <c r="G73" s="52" t="s">
        <v>54</v>
      </c>
      <c r="H73" s="51" t="s">
        <v>263</v>
      </c>
      <c r="I73" s="51" t="s">
        <v>264</v>
      </c>
      <c r="J73" s="51" t="s">
        <v>265</v>
      </c>
      <c r="K73" s="52" t="s">
        <v>196</v>
      </c>
      <c r="L73" s="52" t="s">
        <v>266</v>
      </c>
      <c r="M73" s="66">
        <v>0</v>
      </c>
      <c r="N73" s="66">
        <v>0</v>
      </c>
      <c r="O73" s="67">
        <v>0</v>
      </c>
      <c r="P73" s="68">
        <v>0</v>
      </c>
      <c r="Q73" s="66">
        <v>0</v>
      </c>
      <c r="R73" s="66">
        <v>0</v>
      </c>
      <c r="S73" s="66">
        <v>0</v>
      </c>
      <c r="T73" s="69">
        <v>0</v>
      </c>
      <c r="U73" s="68">
        <v>0</v>
      </c>
      <c r="V73" s="66">
        <v>0</v>
      </c>
      <c r="W73" s="66">
        <v>0</v>
      </c>
      <c r="X73" s="66">
        <v>0</v>
      </c>
      <c r="Y73" s="67">
        <v>0</v>
      </c>
      <c r="Z73" s="68">
        <v>0</v>
      </c>
      <c r="AA73" s="66">
        <v>0</v>
      </c>
      <c r="AB73" s="66">
        <v>0</v>
      </c>
      <c r="AC73" s="66">
        <v>0</v>
      </c>
      <c r="AD73" s="66">
        <v>0</v>
      </c>
      <c r="AE73" s="67">
        <v>0</v>
      </c>
      <c r="AF73" s="68">
        <v>0</v>
      </c>
      <c r="AG73" s="66">
        <v>0.5</v>
      </c>
      <c r="AH73" s="66">
        <v>0</v>
      </c>
      <c r="AI73" s="66">
        <v>0</v>
      </c>
      <c r="AJ73" s="66">
        <v>0</v>
      </c>
      <c r="AK73" s="66">
        <v>0</v>
      </c>
      <c r="AL73" s="69">
        <v>0</v>
      </c>
      <c r="AM73" s="32" t="str">
        <f t="shared" si="10"/>
        <v>Jonathan: 50%</v>
      </c>
    </row>
    <row r="74" spans="1:39" s="4" customFormat="1" ht="61.5" customHeight="1">
      <c r="A74" s="125"/>
      <c r="B74" s="129"/>
      <c r="C74" s="121"/>
      <c r="D74" s="52" t="s">
        <v>267</v>
      </c>
      <c r="E74" s="52" t="s">
        <v>48</v>
      </c>
      <c r="F74" s="52" t="s">
        <v>124</v>
      </c>
      <c r="G74" s="52" t="s">
        <v>268</v>
      </c>
      <c r="H74" s="51" t="s">
        <v>269</v>
      </c>
      <c r="I74" s="51" t="s">
        <v>270</v>
      </c>
      <c r="J74" s="51" t="s">
        <v>271</v>
      </c>
      <c r="K74" s="52" t="s">
        <v>196</v>
      </c>
      <c r="L74" s="52" t="s">
        <v>272</v>
      </c>
      <c r="M74" s="66">
        <v>0</v>
      </c>
      <c r="N74" s="66">
        <v>0</v>
      </c>
      <c r="O74" s="67">
        <v>0</v>
      </c>
      <c r="P74" s="68">
        <v>0</v>
      </c>
      <c r="Q74" s="66">
        <v>0</v>
      </c>
      <c r="R74" s="66">
        <v>0</v>
      </c>
      <c r="S74" s="66">
        <v>0</v>
      </c>
      <c r="T74" s="69">
        <v>0</v>
      </c>
      <c r="U74" s="68">
        <v>0</v>
      </c>
      <c r="V74" s="66">
        <v>0</v>
      </c>
      <c r="W74" s="66">
        <v>0</v>
      </c>
      <c r="X74" s="66">
        <v>0</v>
      </c>
      <c r="Y74" s="67">
        <v>0</v>
      </c>
      <c r="Z74" s="68">
        <v>0</v>
      </c>
      <c r="AA74" s="66">
        <v>0</v>
      </c>
      <c r="AB74" s="66">
        <v>0</v>
      </c>
      <c r="AC74" s="66">
        <v>0</v>
      </c>
      <c r="AD74" s="66">
        <v>0</v>
      </c>
      <c r="AE74" s="67">
        <v>0</v>
      </c>
      <c r="AF74" s="68">
        <v>0</v>
      </c>
      <c r="AG74" s="66">
        <v>0.4</v>
      </c>
      <c r="AH74" s="66">
        <v>0</v>
      </c>
      <c r="AI74" s="66">
        <v>0</v>
      </c>
      <c r="AJ74" s="66">
        <v>0</v>
      </c>
      <c r="AK74" s="66">
        <v>0</v>
      </c>
      <c r="AL74" s="69">
        <v>0</v>
      </c>
      <c r="AM74" s="32" t="str">
        <f t="shared" si="10"/>
        <v>Jonathan: 40%</v>
      </c>
    </row>
    <row r="75" spans="1:39" s="4" customFormat="1" ht="61.5" customHeight="1">
      <c r="A75" s="126"/>
      <c r="B75" s="130"/>
      <c r="C75" s="122"/>
      <c r="D75" s="52" t="s">
        <v>273</v>
      </c>
      <c r="E75" s="52" t="s">
        <v>65</v>
      </c>
      <c r="F75" s="52" t="s">
        <v>124</v>
      </c>
      <c r="G75" s="52" t="s">
        <v>274</v>
      </c>
      <c r="H75" s="51" t="s">
        <v>275</v>
      </c>
      <c r="I75" s="51" t="s">
        <v>276</v>
      </c>
      <c r="J75" s="51"/>
      <c r="K75" s="52"/>
      <c r="L75" s="52" t="s">
        <v>277</v>
      </c>
      <c r="M75" s="66">
        <v>0</v>
      </c>
      <c r="N75" s="66">
        <v>0</v>
      </c>
      <c r="O75" s="67">
        <v>0</v>
      </c>
      <c r="P75" s="68">
        <v>0</v>
      </c>
      <c r="Q75" s="66">
        <v>0</v>
      </c>
      <c r="R75" s="66">
        <v>0</v>
      </c>
      <c r="S75" s="66">
        <v>0</v>
      </c>
      <c r="T75" s="69">
        <v>0</v>
      </c>
      <c r="U75" s="68">
        <v>0</v>
      </c>
      <c r="V75" s="66">
        <v>0</v>
      </c>
      <c r="W75" s="66">
        <v>0</v>
      </c>
      <c r="X75" s="66">
        <v>0</v>
      </c>
      <c r="Y75" s="67">
        <v>0</v>
      </c>
      <c r="Z75" s="68">
        <v>0</v>
      </c>
      <c r="AA75" s="66">
        <v>0</v>
      </c>
      <c r="AB75" s="66">
        <v>0</v>
      </c>
      <c r="AC75" s="66">
        <v>0</v>
      </c>
      <c r="AD75" s="66">
        <v>0</v>
      </c>
      <c r="AE75" s="67">
        <v>0</v>
      </c>
      <c r="AF75" s="68">
        <v>0.1</v>
      </c>
      <c r="AG75" s="66">
        <v>0</v>
      </c>
      <c r="AH75" s="66">
        <v>0</v>
      </c>
      <c r="AI75" s="66">
        <v>0</v>
      </c>
      <c r="AJ75" s="66">
        <v>0</v>
      </c>
      <c r="AK75" s="66">
        <v>0</v>
      </c>
      <c r="AL75" s="69">
        <v>0</v>
      </c>
      <c r="AM75" s="32"/>
    </row>
    <row r="76" spans="1:39" s="4" customFormat="1">
      <c r="A76" s="126"/>
      <c r="B76" s="130"/>
      <c r="C76" s="122"/>
      <c r="D76" s="161" t="s">
        <v>67</v>
      </c>
      <c r="E76" s="162"/>
      <c r="F76" s="162"/>
      <c r="G76" s="162"/>
      <c r="H76" s="162"/>
      <c r="I76" s="162"/>
      <c r="J76" s="162"/>
      <c r="K76" s="162"/>
      <c r="L76" s="163"/>
      <c r="M76" s="54">
        <f>SUM(M72:M75)</f>
        <v>0</v>
      </c>
      <c r="N76" s="54">
        <f>SUM(N72:N75)</f>
        <v>0</v>
      </c>
      <c r="O76" s="55">
        <f>SUM(O72:O75)</f>
        <v>0</v>
      </c>
      <c r="P76" s="54">
        <f t="shared" ref="P76:AL76" si="14">SUM(P72:P75)</f>
        <v>0</v>
      </c>
      <c r="Q76" s="54">
        <f t="shared" si="14"/>
        <v>0</v>
      </c>
      <c r="R76" s="55">
        <f t="shared" si="14"/>
        <v>0</v>
      </c>
      <c r="S76" s="54">
        <f t="shared" si="14"/>
        <v>0</v>
      </c>
      <c r="T76" s="54">
        <f t="shared" si="14"/>
        <v>0</v>
      </c>
      <c r="U76" s="55">
        <f t="shared" si="14"/>
        <v>0</v>
      </c>
      <c r="V76" s="54">
        <f t="shared" si="14"/>
        <v>0</v>
      </c>
      <c r="W76" s="54">
        <f t="shared" si="14"/>
        <v>0</v>
      </c>
      <c r="X76" s="55">
        <f t="shared" si="14"/>
        <v>0</v>
      </c>
      <c r="Y76" s="54">
        <f t="shared" si="14"/>
        <v>0</v>
      </c>
      <c r="Z76" s="54">
        <f t="shared" si="14"/>
        <v>0</v>
      </c>
      <c r="AA76" s="55">
        <f t="shared" si="14"/>
        <v>0</v>
      </c>
      <c r="AB76" s="54">
        <f t="shared" si="14"/>
        <v>0</v>
      </c>
      <c r="AC76" s="54">
        <f t="shared" si="14"/>
        <v>0</v>
      </c>
      <c r="AD76" s="55">
        <f t="shared" si="14"/>
        <v>0</v>
      </c>
      <c r="AE76" s="54">
        <f t="shared" si="14"/>
        <v>0</v>
      </c>
      <c r="AF76" s="54">
        <f t="shared" si="14"/>
        <v>0.1</v>
      </c>
      <c r="AG76" s="55">
        <f t="shared" si="14"/>
        <v>1</v>
      </c>
      <c r="AH76" s="54">
        <f t="shared" si="14"/>
        <v>0</v>
      </c>
      <c r="AI76" s="54">
        <f t="shared" si="14"/>
        <v>0</v>
      </c>
      <c r="AJ76" s="55">
        <f t="shared" si="14"/>
        <v>0</v>
      </c>
      <c r="AK76" s="54">
        <f t="shared" si="14"/>
        <v>0</v>
      </c>
      <c r="AL76" s="54">
        <f t="shared" si="14"/>
        <v>0</v>
      </c>
      <c r="AM76" s="32" t="str">
        <f t="shared" si="10"/>
        <v>Sharmi: 10%, Jonathan: 100%</v>
      </c>
    </row>
    <row r="77" spans="1:39" s="4" customFormat="1" ht="107.25" customHeight="1">
      <c r="A77" s="124" t="s">
        <v>278</v>
      </c>
      <c r="B77" s="128" t="s">
        <v>27</v>
      </c>
      <c r="C77" s="164" t="s">
        <v>279</v>
      </c>
      <c r="D77" s="61" t="s">
        <v>280</v>
      </c>
      <c r="E77" s="61" t="s">
        <v>48</v>
      </c>
      <c r="F77" s="61" t="s">
        <v>130</v>
      </c>
      <c r="G77" s="61" t="s">
        <v>281</v>
      </c>
      <c r="H77" s="50" t="s">
        <v>282</v>
      </c>
      <c r="I77" s="50" t="s">
        <v>283</v>
      </c>
      <c r="J77" s="50" t="s">
        <v>284</v>
      </c>
      <c r="K77" s="61" t="s">
        <v>225</v>
      </c>
      <c r="L77" s="61" t="s">
        <v>285</v>
      </c>
      <c r="M77" s="62">
        <v>0</v>
      </c>
      <c r="N77" s="62">
        <v>0</v>
      </c>
      <c r="O77" s="63">
        <v>0</v>
      </c>
      <c r="P77" s="64">
        <v>0</v>
      </c>
      <c r="Q77" s="62">
        <v>0</v>
      </c>
      <c r="R77" s="62">
        <v>0</v>
      </c>
      <c r="S77" s="62">
        <v>0</v>
      </c>
      <c r="T77" s="65">
        <v>0</v>
      </c>
      <c r="U77" s="64">
        <v>0.1</v>
      </c>
      <c r="V77" s="62">
        <v>0</v>
      </c>
      <c r="W77" s="62">
        <v>0.05</v>
      </c>
      <c r="X77" s="62">
        <v>0.1</v>
      </c>
      <c r="Y77" s="63">
        <v>0</v>
      </c>
      <c r="Z77" s="64">
        <v>0</v>
      </c>
      <c r="AA77" s="62">
        <v>0</v>
      </c>
      <c r="AB77" s="62">
        <v>0</v>
      </c>
      <c r="AC77" s="62">
        <v>0</v>
      </c>
      <c r="AD77" s="62">
        <v>0</v>
      </c>
      <c r="AE77" s="63">
        <v>0</v>
      </c>
      <c r="AF77" s="64">
        <v>0</v>
      </c>
      <c r="AG77" s="62">
        <v>0</v>
      </c>
      <c r="AH77" s="62">
        <v>0</v>
      </c>
      <c r="AI77" s="62">
        <v>0</v>
      </c>
      <c r="AJ77" s="62">
        <v>0</v>
      </c>
      <c r="AK77" s="62">
        <v>0</v>
      </c>
      <c r="AL77" s="65">
        <v>0</v>
      </c>
      <c r="AM77" s="32" t="str">
        <f t="shared" si="10"/>
        <v>Jon: 10%, Yosef: 5%, Mekhla: 10%</v>
      </c>
    </row>
    <row r="78" spans="1:39" s="4" customFormat="1" ht="203.1">
      <c r="A78" s="125"/>
      <c r="B78" s="129"/>
      <c r="C78" s="165"/>
      <c r="D78" s="52" t="s">
        <v>286</v>
      </c>
      <c r="E78" s="52" t="s">
        <v>48</v>
      </c>
      <c r="F78" s="52" t="s">
        <v>130</v>
      </c>
      <c r="G78" s="52" t="s">
        <v>287</v>
      </c>
      <c r="H78" s="51" t="s">
        <v>288</v>
      </c>
      <c r="I78" s="51" t="s">
        <v>289</v>
      </c>
      <c r="J78" s="51" t="s">
        <v>290</v>
      </c>
      <c r="K78" s="52" t="s">
        <v>225</v>
      </c>
      <c r="L78" s="52" t="s">
        <v>285</v>
      </c>
      <c r="M78" s="66">
        <v>0</v>
      </c>
      <c r="N78" s="66">
        <v>0</v>
      </c>
      <c r="O78" s="67">
        <v>0</v>
      </c>
      <c r="P78" s="68">
        <v>0</v>
      </c>
      <c r="Q78" s="66">
        <v>0</v>
      </c>
      <c r="R78" s="66">
        <v>0</v>
      </c>
      <c r="S78" s="66">
        <v>0</v>
      </c>
      <c r="T78" s="69">
        <v>0</v>
      </c>
      <c r="U78" s="68">
        <v>0.05</v>
      </c>
      <c r="V78" s="66">
        <v>0</v>
      </c>
      <c r="W78" s="66">
        <v>0</v>
      </c>
      <c r="X78" s="66">
        <v>0.2</v>
      </c>
      <c r="Y78" s="67">
        <v>0</v>
      </c>
      <c r="Z78" s="68">
        <v>0</v>
      </c>
      <c r="AA78" s="66">
        <v>0</v>
      </c>
      <c r="AB78" s="66">
        <v>0</v>
      </c>
      <c r="AC78" s="66">
        <v>0</v>
      </c>
      <c r="AD78" s="66">
        <v>0</v>
      </c>
      <c r="AE78" s="67">
        <v>0</v>
      </c>
      <c r="AF78" s="68">
        <v>0</v>
      </c>
      <c r="AG78" s="66">
        <v>0</v>
      </c>
      <c r="AH78" s="66">
        <v>0</v>
      </c>
      <c r="AI78" s="66">
        <v>0</v>
      </c>
      <c r="AJ78" s="66">
        <v>0</v>
      </c>
      <c r="AK78" s="66">
        <v>0</v>
      </c>
      <c r="AL78" s="69">
        <v>0</v>
      </c>
      <c r="AM78" s="32" t="str">
        <f t="shared" si="10"/>
        <v>Jon: 5%, Mekhla: 20%</v>
      </c>
    </row>
    <row r="79" spans="1:39" s="4" customFormat="1" ht="87">
      <c r="A79" s="125"/>
      <c r="B79" s="129"/>
      <c r="C79" s="165"/>
      <c r="D79" s="52" t="s">
        <v>291</v>
      </c>
      <c r="E79" s="52" t="s">
        <v>48</v>
      </c>
      <c r="F79" s="52" t="s">
        <v>130</v>
      </c>
      <c r="G79" s="52" t="s">
        <v>292</v>
      </c>
      <c r="H79" s="51" t="s">
        <v>293</v>
      </c>
      <c r="I79" s="51" t="s">
        <v>294</v>
      </c>
      <c r="J79" s="51" t="s">
        <v>295</v>
      </c>
      <c r="K79" s="52" t="s">
        <v>296</v>
      </c>
      <c r="L79" s="52" t="s">
        <v>297</v>
      </c>
      <c r="M79" s="66">
        <v>0</v>
      </c>
      <c r="N79" s="66">
        <v>0</v>
      </c>
      <c r="O79" s="67">
        <v>0</v>
      </c>
      <c r="P79" s="68">
        <v>0</v>
      </c>
      <c r="Q79" s="66">
        <v>0</v>
      </c>
      <c r="R79" s="66">
        <v>0</v>
      </c>
      <c r="S79" s="66">
        <v>0</v>
      </c>
      <c r="T79" s="69">
        <v>0</v>
      </c>
      <c r="U79" s="68">
        <v>0.05</v>
      </c>
      <c r="V79" s="66">
        <v>0</v>
      </c>
      <c r="W79" s="66">
        <v>0.05</v>
      </c>
      <c r="X79" s="66">
        <v>0.1</v>
      </c>
      <c r="Y79" s="67">
        <v>0</v>
      </c>
      <c r="Z79" s="68">
        <v>0</v>
      </c>
      <c r="AA79" s="66">
        <v>0</v>
      </c>
      <c r="AB79" s="66">
        <v>0</v>
      </c>
      <c r="AC79" s="66">
        <v>0</v>
      </c>
      <c r="AD79" s="66">
        <v>0</v>
      </c>
      <c r="AE79" s="67">
        <v>0</v>
      </c>
      <c r="AF79" s="68">
        <v>0</v>
      </c>
      <c r="AG79" s="66">
        <v>0</v>
      </c>
      <c r="AH79" s="66">
        <v>0</v>
      </c>
      <c r="AI79" s="66">
        <v>0</v>
      </c>
      <c r="AJ79" s="66">
        <v>0</v>
      </c>
      <c r="AK79" s="66">
        <v>0</v>
      </c>
      <c r="AL79" s="69">
        <v>0</v>
      </c>
      <c r="AM79" s="32" t="str">
        <f t="shared" si="10"/>
        <v>Jon: 5%, Yosef: 5%, Mekhla: 10%</v>
      </c>
    </row>
    <row r="80" spans="1:39" s="4" customFormat="1" ht="159.6">
      <c r="A80" s="125"/>
      <c r="B80" s="129"/>
      <c r="C80" s="165"/>
      <c r="D80" s="52" t="s">
        <v>298</v>
      </c>
      <c r="E80" s="52" t="s">
        <v>48</v>
      </c>
      <c r="F80" s="52" t="s">
        <v>130</v>
      </c>
      <c r="G80" s="52" t="s">
        <v>299</v>
      </c>
      <c r="H80" s="51" t="s">
        <v>300</v>
      </c>
      <c r="I80" s="51" t="s">
        <v>301</v>
      </c>
      <c r="J80" s="51" t="s">
        <v>302</v>
      </c>
      <c r="K80" s="52" t="s">
        <v>225</v>
      </c>
      <c r="L80" s="52" t="s">
        <v>303</v>
      </c>
      <c r="M80" s="66">
        <v>0</v>
      </c>
      <c r="N80" s="66">
        <v>0</v>
      </c>
      <c r="O80" s="67">
        <v>0</v>
      </c>
      <c r="P80" s="68">
        <v>0</v>
      </c>
      <c r="Q80" s="66">
        <v>0</v>
      </c>
      <c r="R80" s="66">
        <v>0</v>
      </c>
      <c r="S80" s="66">
        <v>0</v>
      </c>
      <c r="T80" s="69">
        <v>0</v>
      </c>
      <c r="U80" s="68">
        <v>0.05</v>
      </c>
      <c r="V80" s="66">
        <v>0</v>
      </c>
      <c r="W80" s="66">
        <v>0</v>
      </c>
      <c r="X80" s="66">
        <v>0.1</v>
      </c>
      <c r="Y80" s="67">
        <v>0</v>
      </c>
      <c r="Z80" s="68">
        <v>0</v>
      </c>
      <c r="AA80" s="66">
        <v>0</v>
      </c>
      <c r="AB80" s="66">
        <v>0</v>
      </c>
      <c r="AC80" s="66">
        <v>0</v>
      </c>
      <c r="AD80" s="66">
        <v>0</v>
      </c>
      <c r="AE80" s="67">
        <v>0</v>
      </c>
      <c r="AF80" s="68">
        <v>0</v>
      </c>
      <c r="AG80" s="66">
        <v>0</v>
      </c>
      <c r="AH80" s="66">
        <v>0</v>
      </c>
      <c r="AI80" s="66">
        <v>0</v>
      </c>
      <c r="AJ80" s="66">
        <v>0</v>
      </c>
      <c r="AK80" s="66">
        <v>0</v>
      </c>
      <c r="AL80" s="69">
        <v>0</v>
      </c>
      <c r="AM80" s="32" t="str">
        <f t="shared" si="10"/>
        <v>Jon: 5%, Mekhla: 10%</v>
      </c>
    </row>
    <row r="81" spans="1:39" s="4" customFormat="1" ht="101.25">
      <c r="A81" s="125"/>
      <c r="B81" s="129"/>
      <c r="C81" s="165"/>
      <c r="D81" s="52" t="s">
        <v>304</v>
      </c>
      <c r="E81" s="52" t="s">
        <v>65</v>
      </c>
      <c r="F81" s="52" t="s">
        <v>207</v>
      </c>
      <c r="G81" s="52" t="s">
        <v>305</v>
      </c>
      <c r="H81" s="51" t="s">
        <v>306</v>
      </c>
      <c r="I81" s="51" t="s">
        <v>307</v>
      </c>
      <c r="J81" s="51"/>
      <c r="K81" s="52" t="s">
        <v>225</v>
      </c>
      <c r="L81" s="52" t="s">
        <v>308</v>
      </c>
      <c r="M81" s="66">
        <v>0</v>
      </c>
      <c r="N81" s="66">
        <v>0</v>
      </c>
      <c r="O81" s="67">
        <v>0</v>
      </c>
      <c r="P81" s="68">
        <v>0</v>
      </c>
      <c r="Q81" s="66">
        <v>0</v>
      </c>
      <c r="R81" s="66">
        <v>0</v>
      </c>
      <c r="S81" s="66">
        <v>0</v>
      </c>
      <c r="T81" s="69">
        <v>0</v>
      </c>
      <c r="U81" s="68">
        <v>0.05</v>
      </c>
      <c r="V81" s="66">
        <v>0</v>
      </c>
      <c r="W81" s="66">
        <v>0.05</v>
      </c>
      <c r="X81" s="66">
        <v>0</v>
      </c>
      <c r="Y81" s="67">
        <v>0.3</v>
      </c>
      <c r="Z81" s="68">
        <v>0</v>
      </c>
      <c r="AA81" s="66">
        <v>0</v>
      </c>
      <c r="AB81" s="66">
        <v>0</v>
      </c>
      <c r="AC81" s="66">
        <v>0</v>
      </c>
      <c r="AD81" s="66">
        <v>0</v>
      </c>
      <c r="AE81" s="67">
        <v>0</v>
      </c>
      <c r="AF81" s="68">
        <v>0</v>
      </c>
      <c r="AG81" s="66">
        <v>0</v>
      </c>
      <c r="AH81" s="66">
        <v>0</v>
      </c>
      <c r="AI81" s="66">
        <v>0</v>
      </c>
      <c r="AJ81" s="66">
        <v>0</v>
      </c>
      <c r="AK81" s="66">
        <v>0</v>
      </c>
      <c r="AL81" s="69">
        <v>0</v>
      </c>
      <c r="AM81" s="32" t="str">
        <f t="shared" si="10"/>
        <v>Jon: 5%, Yosef: 5%, Ajar: 30%</v>
      </c>
    </row>
    <row r="82" spans="1:39" s="4" customFormat="1" ht="57.95">
      <c r="A82" s="125"/>
      <c r="B82" s="129"/>
      <c r="C82" s="165"/>
      <c r="D82" s="52" t="s">
        <v>309</v>
      </c>
      <c r="E82" s="52" t="s">
        <v>65</v>
      </c>
      <c r="F82" s="52" t="s">
        <v>124</v>
      </c>
      <c r="G82" s="52" t="s">
        <v>310</v>
      </c>
      <c r="H82" s="51" t="s">
        <v>311</v>
      </c>
      <c r="I82" s="51" t="s">
        <v>312</v>
      </c>
      <c r="J82" s="51"/>
      <c r="K82" s="52" t="s">
        <v>313</v>
      </c>
      <c r="L82" s="52" t="s">
        <v>314</v>
      </c>
      <c r="M82" s="66">
        <v>0</v>
      </c>
      <c r="N82" s="66">
        <v>0</v>
      </c>
      <c r="O82" s="67">
        <v>0</v>
      </c>
      <c r="P82" s="68">
        <v>0</v>
      </c>
      <c r="Q82" s="66">
        <v>0</v>
      </c>
      <c r="R82" s="66">
        <v>0</v>
      </c>
      <c r="S82" s="66">
        <v>0</v>
      </c>
      <c r="T82" s="69">
        <v>0</v>
      </c>
      <c r="U82" s="68">
        <v>0.2</v>
      </c>
      <c r="V82" s="66">
        <v>0</v>
      </c>
      <c r="W82" s="66">
        <v>0</v>
      </c>
      <c r="X82" s="66">
        <v>0</v>
      </c>
      <c r="Y82" s="67">
        <v>0</v>
      </c>
      <c r="Z82" s="68">
        <v>0</v>
      </c>
      <c r="AA82" s="66">
        <v>0</v>
      </c>
      <c r="AB82" s="66">
        <v>0</v>
      </c>
      <c r="AC82" s="66">
        <v>0</v>
      </c>
      <c r="AD82" s="66">
        <v>0</v>
      </c>
      <c r="AE82" s="67">
        <v>0</v>
      </c>
      <c r="AF82" s="68">
        <v>0</v>
      </c>
      <c r="AG82" s="66">
        <v>0</v>
      </c>
      <c r="AH82" s="66">
        <v>0</v>
      </c>
      <c r="AI82" s="66">
        <v>0</v>
      </c>
      <c r="AJ82" s="66">
        <v>0</v>
      </c>
      <c r="AK82" s="66">
        <v>0</v>
      </c>
      <c r="AL82" s="69">
        <v>0</v>
      </c>
      <c r="AM82" s="32" t="str">
        <f t="shared" si="10"/>
        <v>Jon: 20%</v>
      </c>
    </row>
    <row r="83" spans="1:39" s="4" customFormat="1" ht="159.6">
      <c r="A83" s="125"/>
      <c r="B83" s="129"/>
      <c r="C83" s="165"/>
      <c r="D83" s="52" t="s">
        <v>315</v>
      </c>
      <c r="E83" s="52" t="s">
        <v>48</v>
      </c>
      <c r="F83" s="52" t="s">
        <v>130</v>
      </c>
      <c r="G83" s="52" t="s">
        <v>316</v>
      </c>
      <c r="H83" s="51" t="s">
        <v>317</v>
      </c>
      <c r="I83" s="51" t="s">
        <v>318</v>
      </c>
      <c r="J83" s="51" t="s">
        <v>319</v>
      </c>
      <c r="K83" s="52" t="s">
        <v>225</v>
      </c>
      <c r="L83" s="52" t="s">
        <v>320</v>
      </c>
      <c r="M83" s="66">
        <v>0</v>
      </c>
      <c r="N83" s="66">
        <v>0</v>
      </c>
      <c r="O83" s="67">
        <v>0</v>
      </c>
      <c r="P83" s="68">
        <v>0</v>
      </c>
      <c r="Q83" s="66">
        <v>0</v>
      </c>
      <c r="R83" s="66">
        <v>0</v>
      </c>
      <c r="S83" s="66">
        <v>0</v>
      </c>
      <c r="T83" s="69">
        <v>0</v>
      </c>
      <c r="U83" s="68">
        <v>0.05</v>
      </c>
      <c r="V83" s="66">
        <v>0</v>
      </c>
      <c r="W83" s="66">
        <v>0.15</v>
      </c>
      <c r="X83" s="66">
        <v>0</v>
      </c>
      <c r="Y83" s="67">
        <v>0</v>
      </c>
      <c r="Z83" s="68">
        <v>0</v>
      </c>
      <c r="AA83" s="66">
        <v>0</v>
      </c>
      <c r="AB83" s="66">
        <v>0</v>
      </c>
      <c r="AC83" s="66">
        <v>0</v>
      </c>
      <c r="AD83" s="66">
        <v>0</v>
      </c>
      <c r="AE83" s="67">
        <v>0</v>
      </c>
      <c r="AF83" s="68">
        <v>0</v>
      </c>
      <c r="AG83" s="66">
        <v>0</v>
      </c>
      <c r="AH83" s="66">
        <v>0</v>
      </c>
      <c r="AI83" s="66">
        <v>0</v>
      </c>
      <c r="AJ83" s="66">
        <v>0</v>
      </c>
      <c r="AK83" s="66">
        <v>0</v>
      </c>
      <c r="AL83" s="69">
        <v>0</v>
      </c>
      <c r="AM83" s="32" t="str">
        <f t="shared" si="10"/>
        <v>Jon: 5%, Yosef: 15%</v>
      </c>
    </row>
    <row r="84" spans="1:39" s="4" customFormat="1" ht="144.94999999999999">
      <c r="A84" s="125"/>
      <c r="B84" s="129"/>
      <c r="C84" s="165"/>
      <c r="D84" s="52" t="s">
        <v>321</v>
      </c>
      <c r="E84" s="52" t="s">
        <v>65</v>
      </c>
      <c r="F84" s="52" t="s">
        <v>130</v>
      </c>
      <c r="G84" s="52" t="s">
        <v>287</v>
      </c>
      <c r="H84" s="51" t="s">
        <v>322</v>
      </c>
      <c r="I84" s="51" t="s">
        <v>323</v>
      </c>
      <c r="J84" s="51" t="s">
        <v>324</v>
      </c>
      <c r="K84" s="52" t="s">
        <v>225</v>
      </c>
      <c r="L84" s="52" t="s">
        <v>325</v>
      </c>
      <c r="M84" s="66">
        <v>0</v>
      </c>
      <c r="N84" s="66">
        <v>0</v>
      </c>
      <c r="O84" s="67">
        <v>0</v>
      </c>
      <c r="P84" s="68">
        <v>0</v>
      </c>
      <c r="Q84" s="66">
        <v>0</v>
      </c>
      <c r="R84" s="66">
        <v>0</v>
      </c>
      <c r="S84" s="66">
        <v>0</v>
      </c>
      <c r="T84" s="69">
        <v>0</v>
      </c>
      <c r="U84" s="68">
        <v>0.1</v>
      </c>
      <c r="V84" s="66">
        <v>0</v>
      </c>
      <c r="W84" s="66">
        <v>0.1</v>
      </c>
      <c r="X84" s="66">
        <v>0</v>
      </c>
      <c r="Y84" s="67">
        <v>0</v>
      </c>
      <c r="Z84" s="68">
        <v>0</v>
      </c>
      <c r="AA84" s="66">
        <v>0</v>
      </c>
      <c r="AB84" s="66">
        <v>0</v>
      </c>
      <c r="AC84" s="66">
        <v>0</v>
      </c>
      <c r="AD84" s="66">
        <v>0</v>
      </c>
      <c r="AE84" s="67">
        <v>0</v>
      </c>
      <c r="AF84" s="68">
        <v>0</v>
      </c>
      <c r="AG84" s="66">
        <v>0</v>
      </c>
      <c r="AH84" s="66">
        <v>0</v>
      </c>
      <c r="AI84" s="66">
        <v>0</v>
      </c>
      <c r="AJ84" s="66">
        <v>0</v>
      </c>
      <c r="AK84" s="66">
        <v>0</v>
      </c>
      <c r="AL84" s="69">
        <v>0</v>
      </c>
      <c r="AM84" s="32" t="str">
        <f t="shared" si="10"/>
        <v>Jon: 10%, Yosef: 10%</v>
      </c>
    </row>
    <row r="85" spans="1:39" s="4" customFormat="1" ht="130.5">
      <c r="A85" s="125"/>
      <c r="B85" s="129"/>
      <c r="C85" s="165"/>
      <c r="D85" s="52" t="s">
        <v>326</v>
      </c>
      <c r="E85" s="52" t="s">
        <v>65</v>
      </c>
      <c r="F85" s="52" t="s">
        <v>130</v>
      </c>
      <c r="G85" s="52" t="s">
        <v>327</v>
      </c>
      <c r="H85" s="51" t="s">
        <v>328</v>
      </c>
      <c r="I85" s="51" t="s">
        <v>329</v>
      </c>
      <c r="J85" s="51" t="s">
        <v>330</v>
      </c>
      <c r="K85" s="52" t="s">
        <v>331</v>
      </c>
      <c r="L85" s="52" t="s">
        <v>332</v>
      </c>
      <c r="M85" s="66">
        <v>0</v>
      </c>
      <c r="N85" s="66">
        <v>0</v>
      </c>
      <c r="O85" s="67">
        <v>0</v>
      </c>
      <c r="P85" s="68">
        <v>0</v>
      </c>
      <c r="Q85" s="66">
        <v>0</v>
      </c>
      <c r="R85" s="66">
        <v>0</v>
      </c>
      <c r="S85" s="66">
        <v>0</v>
      </c>
      <c r="T85" s="69">
        <v>0</v>
      </c>
      <c r="U85" s="68">
        <v>0.05</v>
      </c>
      <c r="V85" s="66">
        <v>0</v>
      </c>
      <c r="W85" s="66">
        <v>0.1</v>
      </c>
      <c r="X85" s="66">
        <v>0</v>
      </c>
      <c r="Y85" s="67">
        <v>0</v>
      </c>
      <c r="Z85" s="68">
        <v>0</v>
      </c>
      <c r="AA85" s="66">
        <v>0</v>
      </c>
      <c r="AB85" s="66">
        <v>0</v>
      </c>
      <c r="AC85" s="66">
        <v>0</v>
      </c>
      <c r="AD85" s="66">
        <v>0</v>
      </c>
      <c r="AE85" s="67">
        <v>0</v>
      </c>
      <c r="AF85" s="68">
        <v>0</v>
      </c>
      <c r="AG85" s="66">
        <v>0</v>
      </c>
      <c r="AH85" s="66">
        <v>0</v>
      </c>
      <c r="AI85" s="66">
        <v>0</v>
      </c>
      <c r="AJ85" s="66">
        <v>0</v>
      </c>
      <c r="AK85" s="66">
        <v>0</v>
      </c>
      <c r="AL85" s="69">
        <v>0</v>
      </c>
      <c r="AM85" s="32" t="str">
        <f t="shared" si="10"/>
        <v>Jon: 5%, Yosef: 10%</v>
      </c>
    </row>
    <row r="86" spans="1:39" s="4" customFormat="1" ht="101.45">
      <c r="A86" s="125"/>
      <c r="B86" s="129"/>
      <c r="C86" s="165"/>
      <c r="D86" s="52" t="s">
        <v>333</v>
      </c>
      <c r="E86" s="52" t="s">
        <v>48</v>
      </c>
      <c r="F86" s="52" t="s">
        <v>207</v>
      </c>
      <c r="G86" s="52" t="s">
        <v>334</v>
      </c>
      <c r="H86" s="51" t="s">
        <v>335</v>
      </c>
      <c r="I86" s="51" t="s">
        <v>336</v>
      </c>
      <c r="J86" s="51" t="s">
        <v>337</v>
      </c>
      <c r="K86" s="52" t="s">
        <v>338</v>
      </c>
      <c r="L86" s="52" t="s">
        <v>339</v>
      </c>
      <c r="M86" s="66">
        <v>0</v>
      </c>
      <c r="N86" s="66">
        <v>0</v>
      </c>
      <c r="O86" s="67">
        <v>0</v>
      </c>
      <c r="P86" s="68">
        <v>0</v>
      </c>
      <c r="Q86" s="66">
        <v>0</v>
      </c>
      <c r="R86" s="66">
        <v>0</v>
      </c>
      <c r="S86" s="66">
        <v>0</v>
      </c>
      <c r="T86" s="69">
        <v>0</v>
      </c>
      <c r="U86" s="68">
        <v>0</v>
      </c>
      <c r="V86" s="66">
        <v>0.1</v>
      </c>
      <c r="W86" s="66">
        <v>0.05</v>
      </c>
      <c r="X86" s="66">
        <v>0</v>
      </c>
      <c r="Y86" s="67">
        <v>0.1</v>
      </c>
      <c r="Z86" s="68">
        <v>0</v>
      </c>
      <c r="AA86" s="66">
        <v>0</v>
      </c>
      <c r="AB86" s="66">
        <v>0</v>
      </c>
      <c r="AC86" s="66">
        <v>0</v>
      </c>
      <c r="AD86" s="66">
        <v>0</v>
      </c>
      <c r="AE86" s="67">
        <v>0</v>
      </c>
      <c r="AF86" s="68">
        <v>0</v>
      </c>
      <c r="AG86" s="66">
        <v>0</v>
      </c>
      <c r="AH86" s="66">
        <v>0</v>
      </c>
      <c r="AI86" s="66">
        <v>0</v>
      </c>
      <c r="AJ86" s="66">
        <v>0</v>
      </c>
      <c r="AK86" s="66">
        <v>0</v>
      </c>
      <c r="AL86" s="69">
        <v>0</v>
      </c>
      <c r="AM86" s="32" t="str">
        <f t="shared" si="10"/>
        <v>Helen: 10%, Yosef: 5%, Ajar: 10%</v>
      </c>
    </row>
    <row r="87" spans="1:39" s="4" customFormat="1" ht="29.1">
      <c r="A87" s="125"/>
      <c r="B87" s="129"/>
      <c r="C87" s="165"/>
      <c r="D87" s="52" t="s">
        <v>340</v>
      </c>
      <c r="E87" s="52" t="s">
        <v>65</v>
      </c>
      <c r="F87" s="52" t="s">
        <v>130</v>
      </c>
      <c r="G87" s="52" t="s">
        <v>287</v>
      </c>
      <c r="H87" s="51" t="s">
        <v>341</v>
      </c>
      <c r="I87" s="51" t="s">
        <v>342</v>
      </c>
      <c r="J87" s="51" t="s">
        <v>343</v>
      </c>
      <c r="K87" s="52" t="s">
        <v>313</v>
      </c>
      <c r="L87" s="52" t="s">
        <v>344</v>
      </c>
      <c r="M87" s="66">
        <v>0</v>
      </c>
      <c r="N87" s="66">
        <v>0</v>
      </c>
      <c r="O87" s="67">
        <v>0</v>
      </c>
      <c r="P87" s="68">
        <v>0</v>
      </c>
      <c r="Q87" s="66">
        <v>0</v>
      </c>
      <c r="R87" s="66">
        <v>0</v>
      </c>
      <c r="S87" s="66">
        <v>0</v>
      </c>
      <c r="T87" s="69">
        <v>0</v>
      </c>
      <c r="U87" s="68">
        <v>0</v>
      </c>
      <c r="V87" s="66">
        <v>0.2</v>
      </c>
      <c r="W87" s="66">
        <v>0</v>
      </c>
      <c r="X87" s="66">
        <v>0</v>
      </c>
      <c r="Y87" s="67">
        <v>0</v>
      </c>
      <c r="Z87" s="68">
        <v>0</v>
      </c>
      <c r="AA87" s="66">
        <v>0</v>
      </c>
      <c r="AB87" s="66">
        <v>0</v>
      </c>
      <c r="AC87" s="66">
        <v>0</v>
      </c>
      <c r="AD87" s="66">
        <v>0</v>
      </c>
      <c r="AE87" s="67">
        <v>0</v>
      </c>
      <c r="AF87" s="68">
        <v>0</v>
      </c>
      <c r="AG87" s="66">
        <v>0</v>
      </c>
      <c r="AH87" s="66">
        <v>0</v>
      </c>
      <c r="AI87" s="66">
        <v>0</v>
      </c>
      <c r="AJ87" s="66">
        <v>0</v>
      </c>
      <c r="AK87" s="66">
        <v>0</v>
      </c>
      <c r="AL87" s="69">
        <v>0</v>
      </c>
      <c r="AM87" s="32" t="str">
        <f t="shared" si="10"/>
        <v>Helen: 20%</v>
      </c>
    </row>
    <row r="88" spans="1:39" s="4" customFormat="1" ht="217.5">
      <c r="A88" s="125"/>
      <c r="B88" s="129"/>
      <c r="C88" s="165"/>
      <c r="D88" s="52" t="s">
        <v>345</v>
      </c>
      <c r="E88" s="52" t="s">
        <v>65</v>
      </c>
      <c r="F88" s="52" t="s">
        <v>130</v>
      </c>
      <c r="G88" s="52" t="s">
        <v>346</v>
      </c>
      <c r="H88" s="51" t="s">
        <v>347</v>
      </c>
      <c r="I88" s="51" t="s">
        <v>348</v>
      </c>
      <c r="J88" s="51" t="s">
        <v>349</v>
      </c>
      <c r="K88" s="52" t="s">
        <v>313</v>
      </c>
      <c r="L88" s="52" t="s">
        <v>350</v>
      </c>
      <c r="M88" s="66">
        <v>0</v>
      </c>
      <c r="N88" s="66">
        <v>0</v>
      </c>
      <c r="O88" s="67">
        <v>0</v>
      </c>
      <c r="P88" s="68">
        <v>0</v>
      </c>
      <c r="Q88" s="66">
        <v>0</v>
      </c>
      <c r="R88" s="66">
        <v>0</v>
      </c>
      <c r="S88" s="66">
        <v>0</v>
      </c>
      <c r="T88" s="69">
        <v>0</v>
      </c>
      <c r="U88" s="68">
        <v>0</v>
      </c>
      <c r="V88" s="66">
        <v>0.2</v>
      </c>
      <c r="W88" s="66">
        <v>0</v>
      </c>
      <c r="X88" s="66">
        <v>0</v>
      </c>
      <c r="Y88" s="67">
        <v>0</v>
      </c>
      <c r="Z88" s="68">
        <v>0</v>
      </c>
      <c r="AA88" s="66">
        <v>0</v>
      </c>
      <c r="AB88" s="66">
        <v>0</v>
      </c>
      <c r="AC88" s="66">
        <v>0</v>
      </c>
      <c r="AD88" s="66">
        <v>0</v>
      </c>
      <c r="AE88" s="67">
        <v>0</v>
      </c>
      <c r="AF88" s="68">
        <v>0</v>
      </c>
      <c r="AG88" s="66">
        <v>0</v>
      </c>
      <c r="AH88" s="66">
        <v>0</v>
      </c>
      <c r="AI88" s="66">
        <v>0</v>
      </c>
      <c r="AJ88" s="66">
        <v>0</v>
      </c>
      <c r="AK88" s="66">
        <v>0</v>
      </c>
      <c r="AL88" s="69">
        <v>0</v>
      </c>
      <c r="AM88" s="32" t="str">
        <f t="shared" si="10"/>
        <v>Helen: 20%</v>
      </c>
    </row>
    <row r="89" spans="1:39" s="4" customFormat="1" ht="87">
      <c r="A89" s="125"/>
      <c r="B89" s="129"/>
      <c r="C89" s="165"/>
      <c r="D89" s="52" t="s">
        <v>351</v>
      </c>
      <c r="E89" s="52" t="s">
        <v>65</v>
      </c>
      <c r="F89" s="52" t="s">
        <v>207</v>
      </c>
      <c r="G89" s="52" t="s">
        <v>227</v>
      </c>
      <c r="H89" s="51" t="s">
        <v>352</v>
      </c>
      <c r="I89" s="51" t="s">
        <v>353</v>
      </c>
      <c r="J89" s="51" t="s">
        <v>354</v>
      </c>
      <c r="K89" s="52" t="s">
        <v>225</v>
      </c>
      <c r="L89" s="52"/>
      <c r="M89" s="66">
        <v>0</v>
      </c>
      <c r="N89" s="66">
        <v>0</v>
      </c>
      <c r="O89" s="67">
        <v>0</v>
      </c>
      <c r="P89" s="68">
        <v>0</v>
      </c>
      <c r="Q89" s="66">
        <v>0</v>
      </c>
      <c r="R89" s="66">
        <v>0</v>
      </c>
      <c r="S89" s="66">
        <v>0</v>
      </c>
      <c r="T89" s="69">
        <v>0</v>
      </c>
      <c r="U89" s="68">
        <v>0</v>
      </c>
      <c r="V89" s="66">
        <v>0.1</v>
      </c>
      <c r="W89" s="66">
        <v>0</v>
      </c>
      <c r="X89" s="66">
        <v>0</v>
      </c>
      <c r="Y89" s="67">
        <v>0.1</v>
      </c>
      <c r="Z89" s="68">
        <v>0</v>
      </c>
      <c r="AA89" s="66">
        <v>0</v>
      </c>
      <c r="AB89" s="66">
        <v>0</v>
      </c>
      <c r="AC89" s="66">
        <v>0</v>
      </c>
      <c r="AD89" s="66">
        <v>0</v>
      </c>
      <c r="AE89" s="67">
        <v>0</v>
      </c>
      <c r="AF89" s="68">
        <v>0</v>
      </c>
      <c r="AG89" s="66">
        <v>0</v>
      </c>
      <c r="AH89" s="66">
        <v>0</v>
      </c>
      <c r="AI89" s="66">
        <v>0</v>
      </c>
      <c r="AJ89" s="66">
        <v>0</v>
      </c>
      <c r="AK89" s="66">
        <v>0</v>
      </c>
      <c r="AL89" s="69">
        <v>0</v>
      </c>
      <c r="AM89" s="32" t="str">
        <f t="shared" si="10"/>
        <v>Helen: 10%, Ajar: 10%</v>
      </c>
    </row>
    <row r="90" spans="1:39" s="4" customFormat="1" ht="72.599999999999994">
      <c r="A90" s="125"/>
      <c r="B90" s="129"/>
      <c r="C90" s="165"/>
      <c r="D90" s="52" t="s">
        <v>355</v>
      </c>
      <c r="E90" s="52" t="s">
        <v>65</v>
      </c>
      <c r="F90" s="52" t="s">
        <v>130</v>
      </c>
      <c r="G90" s="52" t="s">
        <v>356</v>
      </c>
      <c r="H90" s="51"/>
      <c r="I90" s="51" t="s">
        <v>357</v>
      </c>
      <c r="J90" s="51"/>
      <c r="K90" s="52"/>
      <c r="L90" s="52"/>
      <c r="M90" s="66">
        <v>0</v>
      </c>
      <c r="N90" s="66">
        <v>0</v>
      </c>
      <c r="O90" s="67">
        <v>0</v>
      </c>
      <c r="P90" s="68">
        <v>0</v>
      </c>
      <c r="Q90" s="66">
        <v>0</v>
      </c>
      <c r="R90" s="66">
        <v>0</v>
      </c>
      <c r="S90" s="66">
        <v>0</v>
      </c>
      <c r="T90" s="69">
        <v>0</v>
      </c>
      <c r="U90" s="68">
        <v>0</v>
      </c>
      <c r="V90" s="66">
        <v>0.05</v>
      </c>
      <c r="W90" s="66">
        <v>0.05</v>
      </c>
      <c r="X90" s="66">
        <v>0</v>
      </c>
      <c r="Y90" s="67">
        <v>0</v>
      </c>
      <c r="Z90" s="68">
        <v>0</v>
      </c>
      <c r="AA90" s="66">
        <v>0</v>
      </c>
      <c r="AB90" s="66">
        <v>0</v>
      </c>
      <c r="AC90" s="66">
        <v>0</v>
      </c>
      <c r="AD90" s="66">
        <v>0</v>
      </c>
      <c r="AE90" s="67">
        <v>0</v>
      </c>
      <c r="AF90" s="68">
        <v>0</v>
      </c>
      <c r="AG90" s="66">
        <v>0</v>
      </c>
      <c r="AH90" s="66">
        <v>0</v>
      </c>
      <c r="AI90" s="66">
        <v>0</v>
      </c>
      <c r="AJ90" s="66">
        <v>0</v>
      </c>
      <c r="AK90" s="66">
        <v>0</v>
      </c>
      <c r="AL90" s="69">
        <v>0</v>
      </c>
      <c r="AM90" s="32" t="str">
        <f t="shared" si="10"/>
        <v>Helen: 5%, Yosef: 5%</v>
      </c>
    </row>
    <row r="91" spans="1:39" s="4" customFormat="1" ht="87">
      <c r="A91" s="125"/>
      <c r="B91" s="129"/>
      <c r="C91" s="165"/>
      <c r="D91" s="52" t="s">
        <v>358</v>
      </c>
      <c r="E91" s="52" t="s">
        <v>48</v>
      </c>
      <c r="F91" s="52" t="s">
        <v>130</v>
      </c>
      <c r="G91" s="52" t="s">
        <v>359</v>
      </c>
      <c r="H91" s="51" t="s">
        <v>360</v>
      </c>
      <c r="I91" s="51" t="s">
        <v>361</v>
      </c>
      <c r="J91" s="51" t="s">
        <v>354</v>
      </c>
      <c r="K91" s="52" t="s">
        <v>362</v>
      </c>
      <c r="L91" s="52" t="s">
        <v>363</v>
      </c>
      <c r="M91" s="66">
        <v>0</v>
      </c>
      <c r="N91" s="66">
        <v>0</v>
      </c>
      <c r="O91" s="67">
        <v>0</v>
      </c>
      <c r="P91" s="68">
        <v>0</v>
      </c>
      <c r="Q91" s="66">
        <v>0</v>
      </c>
      <c r="R91" s="66">
        <v>0</v>
      </c>
      <c r="S91" s="66">
        <v>0</v>
      </c>
      <c r="T91" s="69">
        <v>0</v>
      </c>
      <c r="U91" s="68">
        <v>0.1</v>
      </c>
      <c r="V91" s="66">
        <v>0</v>
      </c>
      <c r="W91" s="66">
        <v>0</v>
      </c>
      <c r="X91" s="66">
        <v>0</v>
      </c>
      <c r="Y91" s="67">
        <v>0</v>
      </c>
      <c r="Z91" s="68">
        <v>0</v>
      </c>
      <c r="AA91" s="66">
        <v>0</v>
      </c>
      <c r="AB91" s="66">
        <v>0</v>
      </c>
      <c r="AC91" s="66">
        <v>0</v>
      </c>
      <c r="AD91" s="66">
        <v>0</v>
      </c>
      <c r="AE91" s="67">
        <v>0</v>
      </c>
      <c r="AF91" s="68">
        <v>0</v>
      </c>
      <c r="AG91" s="66">
        <v>0</v>
      </c>
      <c r="AH91" s="66">
        <v>0</v>
      </c>
      <c r="AI91" s="66">
        <v>0</v>
      </c>
      <c r="AJ91" s="66">
        <v>0</v>
      </c>
      <c r="AK91" s="66">
        <v>0</v>
      </c>
      <c r="AL91" s="69">
        <v>0</v>
      </c>
      <c r="AM91" s="32" t="str">
        <f t="shared" si="10"/>
        <v>Jon: 10%</v>
      </c>
    </row>
    <row r="92" spans="1:39" s="4" customFormat="1" ht="87">
      <c r="A92" s="125"/>
      <c r="B92" s="129"/>
      <c r="C92" s="165"/>
      <c r="D92" s="52" t="s">
        <v>364</v>
      </c>
      <c r="E92" s="52" t="s">
        <v>48</v>
      </c>
      <c r="F92" s="52" t="s">
        <v>130</v>
      </c>
      <c r="G92" s="52" t="s">
        <v>365</v>
      </c>
      <c r="H92" s="51" t="s">
        <v>366</v>
      </c>
      <c r="I92" s="51" t="s">
        <v>353</v>
      </c>
      <c r="J92" s="51" t="s">
        <v>354</v>
      </c>
      <c r="K92" s="52" t="s">
        <v>225</v>
      </c>
      <c r="L92" s="52" t="s">
        <v>367</v>
      </c>
      <c r="M92" s="66">
        <v>0</v>
      </c>
      <c r="N92" s="66">
        <v>0</v>
      </c>
      <c r="O92" s="67">
        <v>0</v>
      </c>
      <c r="P92" s="68">
        <v>0</v>
      </c>
      <c r="Q92" s="66">
        <v>0</v>
      </c>
      <c r="R92" s="66">
        <v>0</v>
      </c>
      <c r="S92" s="66">
        <v>0</v>
      </c>
      <c r="T92" s="69">
        <v>0</v>
      </c>
      <c r="U92" s="68">
        <v>0</v>
      </c>
      <c r="V92" s="66">
        <v>0</v>
      </c>
      <c r="W92" s="66">
        <v>0.2</v>
      </c>
      <c r="X92" s="66">
        <v>0</v>
      </c>
      <c r="Y92" s="67">
        <v>0</v>
      </c>
      <c r="Z92" s="68">
        <v>0</v>
      </c>
      <c r="AA92" s="66">
        <v>0</v>
      </c>
      <c r="AB92" s="66">
        <v>0</v>
      </c>
      <c r="AC92" s="66">
        <v>0</v>
      </c>
      <c r="AD92" s="66">
        <v>0</v>
      </c>
      <c r="AE92" s="67">
        <v>0</v>
      </c>
      <c r="AF92" s="68">
        <v>0</v>
      </c>
      <c r="AG92" s="66">
        <v>0</v>
      </c>
      <c r="AH92" s="66">
        <v>0</v>
      </c>
      <c r="AI92" s="66">
        <v>0</v>
      </c>
      <c r="AJ92" s="66">
        <v>0</v>
      </c>
      <c r="AK92" s="66">
        <v>0</v>
      </c>
      <c r="AL92" s="69">
        <v>0</v>
      </c>
      <c r="AM92" s="32" t="str">
        <f t="shared" si="10"/>
        <v>Yosef: 20%</v>
      </c>
    </row>
    <row r="93" spans="1:39" s="4" customFormat="1" ht="101.25">
      <c r="A93" s="125"/>
      <c r="B93" s="129"/>
      <c r="C93" s="165"/>
      <c r="D93" s="52" t="s">
        <v>368</v>
      </c>
      <c r="E93" s="52" t="s">
        <v>48</v>
      </c>
      <c r="F93" s="52" t="s">
        <v>130</v>
      </c>
      <c r="G93" s="52" t="s">
        <v>369</v>
      </c>
      <c r="H93" s="51" t="s">
        <v>370</v>
      </c>
      <c r="I93" s="51" t="s">
        <v>371</v>
      </c>
      <c r="J93" s="51" t="s">
        <v>354</v>
      </c>
      <c r="K93" s="52" t="s">
        <v>372</v>
      </c>
      <c r="L93" s="52" t="s">
        <v>373</v>
      </c>
      <c r="M93" s="66">
        <v>0</v>
      </c>
      <c r="N93" s="66">
        <v>0</v>
      </c>
      <c r="O93" s="67">
        <v>0</v>
      </c>
      <c r="P93" s="68">
        <v>0</v>
      </c>
      <c r="Q93" s="66">
        <v>0</v>
      </c>
      <c r="R93" s="66">
        <v>0</v>
      </c>
      <c r="S93" s="66">
        <v>0</v>
      </c>
      <c r="T93" s="69">
        <v>0</v>
      </c>
      <c r="U93" s="68">
        <v>0.05</v>
      </c>
      <c r="V93" s="66">
        <v>0</v>
      </c>
      <c r="W93" s="66">
        <v>0</v>
      </c>
      <c r="X93" s="66">
        <v>0.2</v>
      </c>
      <c r="Y93" s="67">
        <v>0</v>
      </c>
      <c r="Z93" s="68">
        <v>0</v>
      </c>
      <c r="AA93" s="66">
        <v>0</v>
      </c>
      <c r="AB93" s="66">
        <v>0</v>
      </c>
      <c r="AC93" s="66">
        <v>0</v>
      </c>
      <c r="AD93" s="66">
        <v>0</v>
      </c>
      <c r="AE93" s="67">
        <v>0</v>
      </c>
      <c r="AF93" s="68">
        <v>0</v>
      </c>
      <c r="AG93" s="66">
        <v>0</v>
      </c>
      <c r="AH93" s="66">
        <v>0</v>
      </c>
      <c r="AI93" s="66">
        <v>0</v>
      </c>
      <c r="AJ93" s="66">
        <v>0</v>
      </c>
      <c r="AK93" s="66">
        <v>0</v>
      </c>
      <c r="AL93" s="69">
        <v>0</v>
      </c>
      <c r="AM93" s="32" t="str">
        <f t="shared" si="10"/>
        <v>Jon: 5%, Mekhla: 20%</v>
      </c>
    </row>
    <row r="94" spans="1:39" s="4" customFormat="1" ht="115.5">
      <c r="A94" s="125"/>
      <c r="B94" s="129"/>
      <c r="C94" s="165"/>
      <c r="D94" s="52" t="s">
        <v>374</v>
      </c>
      <c r="E94" s="52" t="s">
        <v>65</v>
      </c>
      <c r="F94" s="52" t="s">
        <v>130</v>
      </c>
      <c r="G94" s="52" t="s">
        <v>375</v>
      </c>
      <c r="H94" s="51" t="s">
        <v>376</v>
      </c>
      <c r="I94" s="51" t="s">
        <v>377</v>
      </c>
      <c r="J94" s="51" t="s">
        <v>378</v>
      </c>
      <c r="K94" s="52" t="s">
        <v>372</v>
      </c>
      <c r="L94" s="52" t="s">
        <v>379</v>
      </c>
      <c r="M94" s="66">
        <v>0</v>
      </c>
      <c r="N94" s="66">
        <v>0</v>
      </c>
      <c r="O94" s="67">
        <v>0</v>
      </c>
      <c r="P94" s="68">
        <v>0</v>
      </c>
      <c r="Q94" s="66">
        <v>0</v>
      </c>
      <c r="R94" s="66">
        <v>0</v>
      </c>
      <c r="S94" s="66">
        <v>0</v>
      </c>
      <c r="T94" s="69">
        <v>0</v>
      </c>
      <c r="U94" s="68">
        <v>0</v>
      </c>
      <c r="V94" s="66">
        <v>0.2</v>
      </c>
      <c r="W94" s="66">
        <v>0</v>
      </c>
      <c r="X94" s="66">
        <v>0</v>
      </c>
      <c r="Y94" s="67">
        <v>0.2</v>
      </c>
      <c r="Z94" s="68">
        <v>0</v>
      </c>
      <c r="AA94" s="66">
        <v>0</v>
      </c>
      <c r="AB94" s="66">
        <v>0</v>
      </c>
      <c r="AC94" s="66">
        <v>0</v>
      </c>
      <c r="AD94" s="66">
        <v>0</v>
      </c>
      <c r="AE94" s="67">
        <v>0</v>
      </c>
      <c r="AF94" s="68">
        <v>0</v>
      </c>
      <c r="AG94" s="66">
        <v>0</v>
      </c>
      <c r="AH94" s="66">
        <v>0</v>
      </c>
      <c r="AI94" s="66">
        <v>0</v>
      </c>
      <c r="AJ94" s="66">
        <v>0</v>
      </c>
      <c r="AK94" s="66">
        <v>0</v>
      </c>
      <c r="AL94" s="69">
        <v>0</v>
      </c>
      <c r="AM94" s="32" t="str">
        <f t="shared" si="10"/>
        <v>Helen: 20%, Ajar: 20%</v>
      </c>
    </row>
    <row r="95" spans="1:39" s="4" customFormat="1" ht="69.95" customHeight="1">
      <c r="A95" s="125"/>
      <c r="B95" s="129"/>
      <c r="C95" s="165"/>
      <c r="D95" s="52" t="s">
        <v>380</v>
      </c>
      <c r="E95" s="52"/>
      <c r="F95" s="52"/>
      <c r="G95" s="52" t="s">
        <v>365</v>
      </c>
      <c r="H95" s="51" t="s">
        <v>381</v>
      </c>
      <c r="I95" s="51" t="s">
        <v>382</v>
      </c>
      <c r="J95" s="51" t="s">
        <v>383</v>
      </c>
      <c r="K95" s="52" t="s">
        <v>384</v>
      </c>
      <c r="L95" s="52" t="s">
        <v>344</v>
      </c>
      <c r="M95" s="66">
        <v>0</v>
      </c>
      <c r="N95" s="66">
        <v>0</v>
      </c>
      <c r="O95" s="67">
        <v>0</v>
      </c>
      <c r="P95" s="68">
        <v>0</v>
      </c>
      <c r="Q95" s="66">
        <v>0</v>
      </c>
      <c r="R95" s="66">
        <v>0</v>
      </c>
      <c r="S95" s="66">
        <v>0</v>
      </c>
      <c r="T95" s="69">
        <v>0</v>
      </c>
      <c r="U95" s="68">
        <v>0.05</v>
      </c>
      <c r="V95" s="66">
        <v>0.05</v>
      </c>
      <c r="W95" s="66">
        <v>0.05</v>
      </c>
      <c r="X95" s="66">
        <v>0.05</v>
      </c>
      <c r="Y95" s="67">
        <v>0</v>
      </c>
      <c r="Z95" s="68">
        <v>0</v>
      </c>
      <c r="AA95" s="66">
        <v>0</v>
      </c>
      <c r="AB95" s="66">
        <v>0</v>
      </c>
      <c r="AC95" s="66">
        <v>0</v>
      </c>
      <c r="AD95" s="66">
        <v>0</v>
      </c>
      <c r="AE95" s="67">
        <v>0</v>
      </c>
      <c r="AF95" s="68">
        <v>0</v>
      </c>
      <c r="AG95" s="66">
        <v>0</v>
      </c>
      <c r="AH95" s="66">
        <v>0</v>
      </c>
      <c r="AI95" s="66">
        <v>0</v>
      </c>
      <c r="AJ95" s="66">
        <v>0</v>
      </c>
      <c r="AK95" s="66">
        <v>0</v>
      </c>
      <c r="AL95" s="69">
        <v>0</v>
      </c>
      <c r="AM95" s="32" t="str">
        <f t="shared" si="10"/>
        <v>Jon: 5%, Helen: 5%, Yosef: 5%, Mekhla: 5%</v>
      </c>
    </row>
    <row r="96" spans="1:39" s="4" customFormat="1" ht="72.599999999999994">
      <c r="A96" s="125"/>
      <c r="B96" s="129"/>
      <c r="C96" s="165"/>
      <c r="D96" s="52" t="s">
        <v>385</v>
      </c>
      <c r="E96" s="52" t="s">
        <v>65</v>
      </c>
      <c r="F96" s="52" t="s">
        <v>207</v>
      </c>
      <c r="G96" s="52" t="s">
        <v>365</v>
      </c>
      <c r="H96" s="51" t="s">
        <v>386</v>
      </c>
      <c r="I96" s="51" t="s">
        <v>387</v>
      </c>
      <c r="J96" s="51" t="s">
        <v>388</v>
      </c>
      <c r="K96" s="52" t="s">
        <v>389</v>
      </c>
      <c r="L96" s="52" t="s">
        <v>344</v>
      </c>
      <c r="M96" s="66">
        <v>0</v>
      </c>
      <c r="N96" s="66">
        <v>0</v>
      </c>
      <c r="O96" s="67">
        <v>0</v>
      </c>
      <c r="P96" s="68">
        <v>0</v>
      </c>
      <c r="Q96" s="66">
        <v>0</v>
      </c>
      <c r="R96" s="66">
        <v>0</v>
      </c>
      <c r="S96" s="66">
        <v>0</v>
      </c>
      <c r="T96" s="69">
        <v>0</v>
      </c>
      <c r="U96" s="68">
        <v>0.1</v>
      </c>
      <c r="V96" s="66">
        <v>0.1</v>
      </c>
      <c r="W96" s="66">
        <v>0.1</v>
      </c>
      <c r="X96" s="66">
        <v>0.1</v>
      </c>
      <c r="Y96" s="67">
        <v>0.1</v>
      </c>
      <c r="Z96" s="68">
        <v>0</v>
      </c>
      <c r="AA96" s="66">
        <v>0</v>
      </c>
      <c r="AB96" s="66">
        <v>0</v>
      </c>
      <c r="AC96" s="66">
        <v>0</v>
      </c>
      <c r="AD96" s="66">
        <v>0</v>
      </c>
      <c r="AE96" s="67">
        <v>0</v>
      </c>
      <c r="AF96" s="68">
        <v>0</v>
      </c>
      <c r="AG96" s="66">
        <v>0</v>
      </c>
      <c r="AH96" s="66">
        <v>0</v>
      </c>
      <c r="AI96" s="66">
        <v>0</v>
      </c>
      <c r="AJ96" s="66">
        <v>0</v>
      </c>
      <c r="AK96" s="66">
        <v>0</v>
      </c>
      <c r="AL96" s="69">
        <v>0</v>
      </c>
      <c r="AM96" s="32" t="str">
        <f t="shared" si="10"/>
        <v>Jon: 10%, Helen: 10%, Yosef: 10%, Mekhla: 10%, Ajar: 10%</v>
      </c>
    </row>
    <row r="97" spans="1:39" s="4" customFormat="1" ht="15" thickBot="1">
      <c r="A97" s="127"/>
      <c r="B97" s="131"/>
      <c r="C97" s="166"/>
      <c r="D97" s="161" t="s">
        <v>67</v>
      </c>
      <c r="E97" s="162"/>
      <c r="F97" s="162"/>
      <c r="G97" s="162"/>
      <c r="H97" s="162"/>
      <c r="I97" s="162"/>
      <c r="J97" s="162"/>
      <c r="K97" s="162"/>
      <c r="L97" s="163"/>
      <c r="M97" s="54">
        <f t="shared" ref="M97:AL97" si="15">SUM(M77:M96)</f>
        <v>0</v>
      </c>
      <c r="N97" s="54">
        <f t="shared" si="15"/>
        <v>0</v>
      </c>
      <c r="O97" s="55">
        <f t="shared" si="15"/>
        <v>0</v>
      </c>
      <c r="P97" s="56">
        <f t="shared" si="15"/>
        <v>0</v>
      </c>
      <c r="Q97" s="54">
        <f t="shared" si="15"/>
        <v>0</v>
      </c>
      <c r="R97" s="54">
        <f t="shared" si="15"/>
        <v>0</v>
      </c>
      <c r="S97" s="54">
        <f t="shared" si="15"/>
        <v>0</v>
      </c>
      <c r="T97" s="57">
        <f t="shared" si="15"/>
        <v>0</v>
      </c>
      <c r="U97" s="56">
        <f t="shared" si="15"/>
        <v>1.0000000000000002</v>
      </c>
      <c r="V97" s="54">
        <f t="shared" si="15"/>
        <v>1.0000000000000002</v>
      </c>
      <c r="W97" s="54">
        <f t="shared" si="15"/>
        <v>0.95000000000000007</v>
      </c>
      <c r="X97" s="54">
        <f t="shared" si="15"/>
        <v>0.85</v>
      </c>
      <c r="Y97" s="55">
        <f t="shared" si="15"/>
        <v>0.79999999999999993</v>
      </c>
      <c r="Z97" s="56">
        <f t="shared" si="15"/>
        <v>0</v>
      </c>
      <c r="AA97" s="54">
        <f t="shared" si="15"/>
        <v>0</v>
      </c>
      <c r="AB97" s="54">
        <f t="shared" si="15"/>
        <v>0</v>
      </c>
      <c r="AC97" s="54">
        <f t="shared" si="15"/>
        <v>0</v>
      </c>
      <c r="AD97" s="54">
        <f t="shared" si="15"/>
        <v>0</v>
      </c>
      <c r="AE97" s="55">
        <f t="shared" si="15"/>
        <v>0</v>
      </c>
      <c r="AF97" s="56">
        <f t="shared" si="15"/>
        <v>0</v>
      </c>
      <c r="AG97" s="54">
        <f t="shared" si="15"/>
        <v>0</v>
      </c>
      <c r="AH97" s="54">
        <f t="shared" si="15"/>
        <v>0</v>
      </c>
      <c r="AI97" s="54">
        <f t="shared" si="15"/>
        <v>0</v>
      </c>
      <c r="AJ97" s="58">
        <f t="shared" si="15"/>
        <v>0</v>
      </c>
      <c r="AK97" s="58">
        <f t="shared" si="15"/>
        <v>0</v>
      </c>
      <c r="AL97" s="57">
        <f t="shared" si="15"/>
        <v>0</v>
      </c>
      <c r="AM97" s="32" t="str">
        <f t="shared" si="10"/>
        <v>Jon: 100%, Helen: 100%, Yosef: 95%, Mekhla: 85%, Ajar: 80%</v>
      </c>
    </row>
    <row r="98" spans="1:39" s="4" customFormat="1" ht="15" thickBot="1">
      <c r="A98" s="175" t="s">
        <v>390</v>
      </c>
      <c r="B98" s="176"/>
      <c r="C98" s="176"/>
      <c r="D98" s="176"/>
      <c r="E98" s="176"/>
      <c r="F98" s="176"/>
      <c r="G98" s="176"/>
      <c r="H98" s="176"/>
      <c r="I98" s="176"/>
      <c r="J98" s="176"/>
      <c r="K98" s="176"/>
      <c r="L98" s="177"/>
      <c r="M98" s="54">
        <f>SUM(M10,M17,M23,M29,M35,M49,M54,M57,M61,M66,M71,M76,M97)</f>
        <v>0</v>
      </c>
      <c r="N98" s="54">
        <f>SUM(N10,N17,N23,N29,N35,N49,N54,N57,N61,N66,N71,N76,N97)</f>
        <v>0.3</v>
      </c>
      <c r="O98" s="54">
        <f>SUM(O10,O17,O23,O29,O35,O49,O54,O57,O61,O66,O71,O76,O97)</f>
        <v>1</v>
      </c>
      <c r="P98" s="54">
        <f>SUM(P10,P17,P23,P29,P35,P49,P54,P57,P61,P66,P71,P76,P97)</f>
        <v>0.64</v>
      </c>
      <c r="Q98" s="54">
        <f>SUM(Q10,Q17,Q23,Q29,Q35,Q49,Q54,Q57,Q61,Q66,Q71,Q76,Q97)</f>
        <v>1.1199999999999999</v>
      </c>
      <c r="R98" s="54">
        <f>SUM(R10,R17,R23,R29,R35,R49,R54,R57,R61,R66,R71,R76,R97)</f>
        <v>1.3800000000000001</v>
      </c>
      <c r="S98" s="54">
        <f>SUM(S10,S17,S23,S29,S35,S49,S54,S57,S61,S66,S71,S76,S97)</f>
        <v>1.2250000000000001</v>
      </c>
      <c r="T98" s="54">
        <f>SUM(T10,T17,T23,T29,T35,T49,T54,T57,T61,T66,T71,T76,T97)</f>
        <v>1</v>
      </c>
      <c r="U98" s="54">
        <f>SUM(U10,U17,U23,U29,U35,U49,U54,U57,U61,U66,U71,U76,U97)</f>
        <v>1.0000000000000002</v>
      </c>
      <c r="V98" s="54">
        <f>SUM(V10,V17,V23,V29,V35,V49,V54,V57,V61,V66,V71,V76,V97)</f>
        <v>1.0000000000000002</v>
      </c>
      <c r="W98" s="54">
        <f>SUM(W10,W17,W23,W29,W35,W49,W54,W57,W61,W66,W71,W76,W97)</f>
        <v>0.95000000000000007</v>
      </c>
      <c r="X98" s="54">
        <f>SUM(X10,X17,X23,X29,X35,X49,X54,X57,X61,X66,X71,X76,X97)</f>
        <v>0.85</v>
      </c>
      <c r="Y98" s="54">
        <f>SUM(Y10,Y17,Y23,Y29,Y35,Y49,Y54,Y57,Y61,Y66,Y71,Y76,Y97)</f>
        <v>0.79999999999999993</v>
      </c>
      <c r="Z98" s="54">
        <f>SUM(Z10,Z17,Z23,Z29,Z35,Z49,Z54,Z57,Z61,Z66,Z71,Z76,Z97)</f>
        <v>1.2999999999999998</v>
      </c>
      <c r="AA98" s="54">
        <f>SUM(AA10,AA17,AA23,AA29,AA35,AA49,AA54,AA57,AA61,AA66,AA71,AA76,AA97)</f>
        <v>1</v>
      </c>
      <c r="AB98" s="54">
        <f>SUM(AB10,AB17,AB23,AB29,AB35,AB49,AB54,AB57,AB61,AB66,AB71,AB76,AB97)</f>
        <v>1</v>
      </c>
      <c r="AC98" s="54">
        <f>SUM(AC10,AC17,AC23,AC29,AC35,AC49,AC54,AC57,AC61,AC66,AC71,AC76,AC97)</f>
        <v>1.1000000000000001</v>
      </c>
      <c r="AD98" s="54">
        <f>SUM(AD10,AD17,AD23,AD29,AD35,AD49,AD54,AD57,AD61,AD66,AD71,AD76,AD97)</f>
        <v>0.4</v>
      </c>
      <c r="AE98" s="54">
        <f>SUM(AE10,AE17,AE23,AE29,AE35,AE49,AE54,AE57,AE61,AE66,AE71,AE76,AE97)</f>
        <v>1</v>
      </c>
      <c r="AF98" s="54">
        <f>SUM(AF10,AF17,AF23,AF29,AF35,AF49,AF54,AF57,AF61,AF66,AF71,AF76,AF97)</f>
        <v>0.1</v>
      </c>
      <c r="AG98" s="54">
        <f>SUM(AG10,AG17,AG23,AG29,AG35,AG49,AG54,AG57,AG61,AG66,AG71,AG76,AG97)</f>
        <v>1</v>
      </c>
      <c r="AH98" s="54">
        <f>SUM(AH10,AH17,AH23,AH29,AH35,AH49,AH54,AH57,AH61,AH66,AH71,AH76,AH97)</f>
        <v>1</v>
      </c>
      <c r="AI98" s="54">
        <f>SUM(AI10,AI17,AI23,AI29,AI35,AI49,AI54,AI57,AI61,AI66,AI71,AI76,AI97)</f>
        <v>1</v>
      </c>
      <c r="AJ98" s="54">
        <f>SUM(AJ10,AJ17,AJ23,AJ29,AJ35,AJ49,AJ54,AJ57,AJ61,AJ66,AJ71,AJ76,AJ97)</f>
        <v>0.05</v>
      </c>
      <c r="AK98" s="54">
        <f>SUM(AK10,AK17,AK23,AK29,AK35,AK49,AK54,AK57,AK61,AK66,AK71,AK76,AK97)</f>
        <v>0.3</v>
      </c>
      <c r="AL98" s="54">
        <f>SUM(AL10,AL17,AL23,AL29,AL35,AL49,AL54,AL57,AL61,AL66,AL71,AL76,AL97)</f>
        <v>1</v>
      </c>
      <c r="AM98" s="113"/>
    </row>
  </sheetData>
  <dataConsolidate/>
  <mergeCells count="73">
    <mergeCell ref="A98:L98"/>
    <mergeCell ref="AM1:AM3"/>
    <mergeCell ref="A24:A29"/>
    <mergeCell ref="B24:B29"/>
    <mergeCell ref="C24:C29"/>
    <mergeCell ref="D29:L29"/>
    <mergeCell ref="D23:L23"/>
    <mergeCell ref="D10:L10"/>
    <mergeCell ref="D17:L17"/>
    <mergeCell ref="A30:A35"/>
    <mergeCell ref="B30:B35"/>
    <mergeCell ref="C30:C35"/>
    <mergeCell ref="D35:L35"/>
    <mergeCell ref="A50:A54"/>
    <mergeCell ref="B50:B54"/>
    <mergeCell ref="C50:C54"/>
    <mergeCell ref="D54:L54"/>
    <mergeCell ref="A36:A49"/>
    <mergeCell ref="B36:B49"/>
    <mergeCell ref="C36:C49"/>
    <mergeCell ref="D49:L49"/>
    <mergeCell ref="D61:L61"/>
    <mergeCell ref="C58:C61"/>
    <mergeCell ref="B58:B61"/>
    <mergeCell ref="A58:A61"/>
    <mergeCell ref="A55:A57"/>
    <mergeCell ref="B55:B57"/>
    <mergeCell ref="C55:C57"/>
    <mergeCell ref="D57:L57"/>
    <mergeCell ref="D71:L71"/>
    <mergeCell ref="C67:C71"/>
    <mergeCell ref="B67:B71"/>
    <mergeCell ref="A67:A71"/>
    <mergeCell ref="D66:L66"/>
    <mergeCell ref="C62:C66"/>
    <mergeCell ref="B62:B66"/>
    <mergeCell ref="A62:A66"/>
    <mergeCell ref="D97:L97"/>
    <mergeCell ref="C77:C97"/>
    <mergeCell ref="B77:B97"/>
    <mergeCell ref="A77:A97"/>
    <mergeCell ref="D76:L76"/>
    <mergeCell ref="C72:C76"/>
    <mergeCell ref="B72:B76"/>
    <mergeCell ref="A72:A76"/>
    <mergeCell ref="K2:K3"/>
    <mergeCell ref="L2:L3"/>
    <mergeCell ref="G2:G3"/>
    <mergeCell ref="H2:H3"/>
    <mergeCell ref="I2:I3"/>
    <mergeCell ref="J2:J3"/>
    <mergeCell ref="A1:F1"/>
    <mergeCell ref="M1:AL1"/>
    <mergeCell ref="A4:A10"/>
    <mergeCell ref="A11:A17"/>
    <mergeCell ref="P2:T2"/>
    <mergeCell ref="U2:Y2"/>
    <mergeCell ref="Z2:AE2"/>
    <mergeCell ref="AF2:AL2"/>
    <mergeCell ref="A2:A3"/>
    <mergeCell ref="D2:D3"/>
    <mergeCell ref="E2:E3"/>
    <mergeCell ref="F2:F3"/>
    <mergeCell ref="C2:C3"/>
    <mergeCell ref="C4:C10"/>
    <mergeCell ref="C11:C17"/>
    <mergeCell ref="M2:O2"/>
    <mergeCell ref="C18:C23"/>
    <mergeCell ref="A18:A23"/>
    <mergeCell ref="B18:B23"/>
    <mergeCell ref="B2:B3"/>
    <mergeCell ref="B4:B10"/>
    <mergeCell ref="B11:B17"/>
  </mergeCells>
  <conditionalFormatting sqref="M65:AK65">
    <cfRule type="colorScale" priority="10">
      <colorScale>
        <cfvo type="num" val="0"/>
        <cfvo type="num" val="1"/>
        <color rgb="FFFCFCFF"/>
        <color rgb="FF63BE7B"/>
      </colorScale>
    </cfRule>
  </conditionalFormatting>
  <conditionalFormatting sqref="M4:AL9 M30:AL34">
    <cfRule type="cellIs" dxfId="10" priority="50" operator="equal">
      <formula>0</formula>
    </cfRule>
    <cfRule type="colorScale" priority="51">
      <colorScale>
        <cfvo type="num" val="0"/>
        <cfvo type="num" val="1"/>
        <color rgb="FFFCFCFF"/>
        <color rgb="FF63BE7B"/>
      </colorScale>
    </cfRule>
  </conditionalFormatting>
  <conditionalFormatting sqref="M10:AL10">
    <cfRule type="colorScale" priority="45">
      <colorScale>
        <cfvo type="num" val="0"/>
        <cfvo type="num" val="1"/>
        <color rgb="FFFCFCFF"/>
        <color rgb="FF63BE7B"/>
      </colorScale>
    </cfRule>
  </conditionalFormatting>
  <conditionalFormatting sqref="M11:AL16">
    <cfRule type="cellIs" dxfId="9" priority="42" operator="equal">
      <formula>0</formula>
    </cfRule>
    <cfRule type="colorScale" priority="43">
      <colorScale>
        <cfvo type="num" val="0"/>
        <cfvo type="num" val="1"/>
        <color rgb="FFFCFCFF"/>
        <color rgb="FF63BE7B"/>
      </colorScale>
    </cfRule>
  </conditionalFormatting>
  <conditionalFormatting sqref="M17:AL17">
    <cfRule type="colorScale" priority="15">
      <colorScale>
        <cfvo type="num" val="0"/>
        <cfvo type="num" val="1"/>
        <color rgb="FFFCFCFF"/>
        <color rgb="FF63BE7B"/>
      </colorScale>
    </cfRule>
  </conditionalFormatting>
  <conditionalFormatting sqref="M18:AL22">
    <cfRule type="cellIs" dxfId="8" priority="40" operator="equal">
      <formula>0</formula>
    </cfRule>
    <cfRule type="colorScale" priority="41">
      <colorScale>
        <cfvo type="num" val="0"/>
        <cfvo type="num" val="1"/>
        <color rgb="FFFCFCFF"/>
        <color rgb="FF63BE7B"/>
      </colorScale>
    </cfRule>
  </conditionalFormatting>
  <conditionalFormatting sqref="M23:AL23 M29:AL29">
    <cfRule type="colorScale" priority="14">
      <colorScale>
        <cfvo type="num" val="0"/>
        <cfvo type="num" val="1"/>
        <color rgb="FFFCFCFF"/>
        <color rgb="FF63BE7B"/>
      </colorScale>
    </cfRule>
  </conditionalFormatting>
  <conditionalFormatting sqref="M24:AL28">
    <cfRule type="cellIs" dxfId="7" priority="1" operator="equal">
      <formula>0</formula>
    </cfRule>
    <cfRule type="colorScale" priority="2">
      <colorScale>
        <cfvo type="num" val="0"/>
        <cfvo type="num" val="1"/>
        <color rgb="FFFCFCFF"/>
        <color rgb="FF63BE7B"/>
      </colorScale>
    </cfRule>
  </conditionalFormatting>
  <conditionalFormatting sqref="M35:AL35">
    <cfRule type="colorScale" priority="13">
      <colorScale>
        <cfvo type="num" val="0"/>
        <cfvo type="num" val="1"/>
        <color rgb="FFFCFCFF"/>
        <color rgb="FF63BE7B"/>
      </colorScale>
    </cfRule>
  </conditionalFormatting>
  <conditionalFormatting sqref="M36:AL48">
    <cfRule type="cellIs" dxfId="6" priority="32" operator="equal">
      <formula>0</formula>
    </cfRule>
    <cfRule type="colorScale" priority="33">
      <colorScale>
        <cfvo type="num" val="0"/>
        <cfvo type="num" val="1"/>
        <color rgb="FFFCFCFF"/>
        <color rgb="FF63BE7B"/>
      </colorScale>
    </cfRule>
  </conditionalFormatting>
  <conditionalFormatting sqref="M49:AL49">
    <cfRule type="colorScale" priority="12">
      <colorScale>
        <cfvo type="num" val="0"/>
        <cfvo type="num" val="1"/>
        <color rgb="FFFCFCFF"/>
        <color rgb="FF63BE7B"/>
      </colorScale>
    </cfRule>
  </conditionalFormatting>
  <conditionalFormatting sqref="M50:AL53">
    <cfRule type="cellIs" dxfId="5" priority="30" operator="equal">
      <formula>0</formula>
    </cfRule>
    <cfRule type="colorScale" priority="31">
      <colorScale>
        <cfvo type="num" val="0"/>
        <cfvo type="num" val="1"/>
        <color rgb="FFFCFCFF"/>
        <color rgb="FF63BE7B"/>
      </colorScale>
    </cfRule>
  </conditionalFormatting>
  <conditionalFormatting sqref="M54:AL54">
    <cfRule type="colorScale" priority="11">
      <colorScale>
        <cfvo type="num" val="0"/>
        <cfvo type="num" val="1"/>
        <color rgb="FFFCFCFF"/>
        <color rgb="FF63BE7B"/>
      </colorScale>
    </cfRule>
  </conditionalFormatting>
  <conditionalFormatting sqref="M55:AL56">
    <cfRule type="cellIs" dxfId="4" priority="28" operator="equal">
      <formula>0</formula>
    </cfRule>
    <cfRule type="colorScale" priority="29">
      <colorScale>
        <cfvo type="num" val="0"/>
        <cfvo type="num" val="1"/>
        <color rgb="FFFCFCFF"/>
        <color rgb="FF63BE7B"/>
      </colorScale>
    </cfRule>
  </conditionalFormatting>
  <conditionalFormatting sqref="M57:AL57">
    <cfRule type="colorScale" priority="8">
      <colorScale>
        <cfvo type="num" val="0"/>
        <cfvo type="num" val="1"/>
        <color rgb="FFFCFCFF"/>
        <color rgb="FF63BE7B"/>
      </colorScale>
    </cfRule>
  </conditionalFormatting>
  <conditionalFormatting sqref="M58:AL60">
    <cfRule type="cellIs" dxfId="3" priority="26" operator="equal">
      <formula>0</formula>
    </cfRule>
    <cfRule type="colorScale" priority="27">
      <colorScale>
        <cfvo type="num" val="0"/>
        <cfvo type="num" val="1"/>
        <color rgb="FFFCFCFF"/>
        <color rgb="FF63BE7B"/>
      </colorScale>
    </cfRule>
  </conditionalFormatting>
  <conditionalFormatting sqref="M61:AL61">
    <cfRule type="colorScale" priority="7">
      <colorScale>
        <cfvo type="num" val="0"/>
        <cfvo type="num" val="1"/>
        <color rgb="FFFCFCFF"/>
        <color rgb="FF63BE7B"/>
      </colorScale>
    </cfRule>
  </conditionalFormatting>
  <conditionalFormatting sqref="M62:AL64 AL65">
    <cfRule type="colorScale" priority="25">
      <colorScale>
        <cfvo type="num" val="0"/>
        <cfvo type="num" val="1"/>
        <color rgb="FFFCFCFF"/>
        <color rgb="FF63BE7B"/>
      </colorScale>
    </cfRule>
  </conditionalFormatting>
  <conditionalFormatting sqref="M62:AL65">
    <cfRule type="cellIs" dxfId="2" priority="9" operator="equal">
      <formula>0</formula>
    </cfRule>
  </conditionalFormatting>
  <conditionalFormatting sqref="M66:AL66">
    <cfRule type="colorScale" priority="6">
      <colorScale>
        <cfvo type="num" val="0"/>
        <cfvo type="num" val="1"/>
        <color rgb="FFFCFCFF"/>
        <color rgb="FF63BE7B"/>
      </colorScale>
    </cfRule>
  </conditionalFormatting>
  <conditionalFormatting sqref="M67:AL70 M72:AL75">
    <cfRule type="cellIs" dxfId="1" priority="22" operator="equal">
      <formula>0</formula>
    </cfRule>
    <cfRule type="colorScale" priority="23">
      <colorScale>
        <cfvo type="num" val="0"/>
        <cfvo type="num" val="1"/>
        <color rgb="FFFCFCFF"/>
        <color rgb="FF63BE7B"/>
      </colorScale>
    </cfRule>
  </conditionalFormatting>
  <conditionalFormatting sqref="M71:AL71">
    <cfRule type="colorScale" priority="5">
      <colorScale>
        <cfvo type="num" val="0"/>
        <cfvo type="num" val="1"/>
        <color rgb="FFFCFCFF"/>
        <color rgb="FF63BE7B"/>
      </colorScale>
    </cfRule>
  </conditionalFormatting>
  <conditionalFormatting sqref="M76:AL76">
    <cfRule type="colorScale" priority="4">
      <colorScale>
        <cfvo type="num" val="0"/>
        <cfvo type="num" val="1"/>
        <color rgb="FFFCFCFF"/>
        <color rgb="FF63BE7B"/>
      </colorScale>
    </cfRule>
  </conditionalFormatting>
  <conditionalFormatting sqref="M77:AL96">
    <cfRule type="cellIs" dxfId="0" priority="20" operator="equal">
      <formula>0</formula>
    </cfRule>
    <cfRule type="colorScale" priority="21">
      <colorScale>
        <cfvo type="num" val="0"/>
        <cfvo type="num" val="1"/>
        <color rgb="FFFCFCFF"/>
        <color rgb="FF63BE7B"/>
      </colorScale>
    </cfRule>
  </conditionalFormatting>
  <conditionalFormatting sqref="M97:AL98">
    <cfRule type="colorScale" priority="3">
      <colorScale>
        <cfvo type="num" val="0"/>
        <cfvo type="num" val="1"/>
        <color rgb="FFFCFCFF"/>
        <color rgb="FF63BE7B"/>
      </colorScale>
    </cfRule>
  </conditionalFormatting>
  <hyperlinks>
    <hyperlink ref="C4" r:id="rId1" display="https://alleninstitute.sharepoint.com/:w:/s/NeuralDynamics/EWuRJ7u0VwFPkQUbLm3TVi8Btpy3_zC55E6wiivB32H42Q?e=BYrMCQ" xr:uid="{FAB68B40-32BD-824B-8419-52307C9356FB}"/>
    <hyperlink ref="C11" r:id="rId2" display="https://alleninstitute.sharepoint.com/:w:/s/NeuralDynamics/ERz7tYljoKtPhc37OafsLvUBRKnDu-KXwLoy9-c0ekZayg?e=Gjbc8v" xr:uid="{896E1EDF-D994-354F-98A3-670394239B41}"/>
    <hyperlink ref="C18" r:id="rId3" display="https://alleninstitute.sharepoint.com/:w:/s/NeuralDynamics/EbxmFSTn17tNrJEN6Hfju0gBIN3L47IEzBM0TVW_HCQEBQ?e=H2edoE" xr:uid="{D9910F4F-1EE9-EF47-9A60-3F0BCB1FD4C0}"/>
    <hyperlink ref="C77" r:id="rId4" xr:uid="{560310D9-91DA-4FB5-B332-8747384ECB53}"/>
    <hyperlink ref="C58" r:id="rId5" display="SmartSPIM.docx" xr:uid="{377A408E-6D78-4994-B3B5-F03CB5ECA925}"/>
    <hyperlink ref="C72" r:id="rId6" display="Behavior Videos.docx" xr:uid="{41EF4E42-513F-42FB-8EBD-665BE66C5E81}"/>
    <hyperlink ref="C58:C60" r:id="rId7" display="LINK" xr:uid="{D5DC8E42-69E7-4CFA-AF6D-56793885A344}"/>
    <hyperlink ref="C62" r:id="rId8" display="ExaSPIM.docx" xr:uid="{2E10BD39-50C8-4F7F-9CFC-3466193CF471}"/>
    <hyperlink ref="C62:C65" r:id="rId9" display="LINK" xr:uid="{CABC3B75-05CE-4328-AD8B-B6DBAE01C406}"/>
    <hyperlink ref="C72:C74" r:id="rId10" display="LINK" xr:uid="{1AF17A45-06D0-464C-B703-CE8B5FC713DC}"/>
    <hyperlink ref="C36" r:id="rId11" display="https://alleninstitute-my.sharepoint.com/:w:/g/personal/saskiad_alleninstitute_org/EXQ_3qvr8DRFkfbnNK0f1sYBvSmAvbfVk-GbftKAzfTOWg?e=NA87IR" xr:uid="{A08C0E9F-6377-174C-826B-4A2DD15987FA}"/>
    <hyperlink ref="C24" r:id="rId12" display="https://alleninstitute.sharepoint.com/:w:/s/NeuralDynamics/EbxmFSTn17tNrJEN6Hfju0gBIN3L47IEzBM0TVW_HCQEBQ?e=H2edoE" xr:uid="{03B3F743-F765-4FF9-A8D3-3BF9908EBABA}"/>
    <hyperlink ref="C24:C29" r:id="rId13" display="LINK" xr:uid="{F9E94718-88D3-47C2-9C31-282EE4622FBA}"/>
    <hyperlink ref="C58:C61" r:id="rId14" display="LINK" xr:uid="{03ED68E9-F783-44C4-8D47-B70D699F1740}"/>
    <hyperlink ref="C62:C66" r:id="rId15" display="LINK" xr:uid="{246B1F59-19F9-480E-B005-308FD897AC11}"/>
    <hyperlink ref="C72:C76" r:id="rId16" display="LINK" xr:uid="{4ECD06B6-3F36-44F9-9546-81A7F1ABD627}"/>
    <hyperlink ref="C67" r:id="rId17" display="25Q3 Z1.docx" xr:uid="{BA991A79-CF93-47A1-92FF-52A330273BA2}"/>
    <hyperlink ref="C67:C71" r:id="rId18" display="LINK" xr:uid="{493C51F9-AFBD-46F6-AFFB-66E72F175218}"/>
    <hyperlink ref="C18:C23" r:id="rId19" display="LINK" xr:uid="{5ECD12B8-7429-4ADF-859B-DE83FB641FAE}"/>
    <hyperlink ref="C11:C17" r:id="rId20" display="LINK" xr:uid="{1096B4EE-D765-4FED-9B6F-F75D1D208174}"/>
    <hyperlink ref="C4:C10" r:id="rId21" display="LINK" xr:uid="{BE32967C-3E60-4D8A-BA1E-7DABFDD7C2CB}"/>
  </hyperlinks>
  <pageMargins left="0.7" right="0.7" top="0.75" bottom="0.75" header="0.3" footer="0.3"/>
  <pageSetup orientation="portrait" verticalDpi="0" r:id="rId22"/>
  <legacyDrawing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EF8-6D89-4C66-BC84-23DBDADA24D4}">
  <dimension ref="A1:E7"/>
  <sheetViews>
    <sheetView workbookViewId="0"/>
  </sheetViews>
  <sheetFormatPr defaultRowHeight="14.45"/>
  <cols>
    <col min="1" max="1" width="14.42578125" customWidth="1"/>
    <col min="2" max="2" width="17.85546875" customWidth="1"/>
    <col min="3" max="3" width="17.140625" customWidth="1"/>
    <col min="4" max="4" width="18.7109375" customWidth="1"/>
    <col min="5" max="5" width="15.42578125" customWidth="1"/>
  </cols>
  <sheetData>
    <row r="1" spans="1:5" ht="15" thickBot="1">
      <c r="A1" t="s">
        <v>391</v>
      </c>
      <c r="B1" t="s">
        <v>392</v>
      </c>
      <c r="C1" t="s">
        <v>393</v>
      </c>
      <c r="D1" t="s">
        <v>9</v>
      </c>
      <c r="E1" t="s">
        <v>394</v>
      </c>
    </row>
    <row r="2" spans="1:5" ht="72.599999999999994">
      <c r="A2" t="s">
        <v>45</v>
      </c>
      <c r="B2" t="s">
        <v>395</v>
      </c>
      <c r="C2" s="13" t="s">
        <v>47</v>
      </c>
      <c r="D2" s="22" t="s">
        <v>50</v>
      </c>
    </row>
    <row r="3" spans="1:5" ht="72.599999999999994">
      <c r="C3" s="14" t="s">
        <v>52</v>
      </c>
      <c r="D3" s="11" t="s">
        <v>54</v>
      </c>
    </row>
    <row r="4" spans="1:5" ht="29.1">
      <c r="C4" s="14" t="s">
        <v>56</v>
      </c>
      <c r="D4" s="11" t="s">
        <v>54</v>
      </c>
    </row>
    <row r="5" spans="1:5" ht="43.5">
      <c r="C5" s="14" t="s">
        <v>59</v>
      </c>
      <c r="D5" s="11" t="s">
        <v>54</v>
      </c>
    </row>
    <row r="6" spans="1:5" ht="87">
      <c r="C6" s="14" t="s">
        <v>61</v>
      </c>
      <c r="D6" s="12" t="s">
        <v>62</v>
      </c>
    </row>
    <row r="7" spans="1:5" ht="43.5">
      <c r="C7" s="17" t="s">
        <v>64</v>
      </c>
      <c r="D7" s="19"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F42BD4761D91D43B98AD76CD5F910EB" ma:contentTypeVersion="19" ma:contentTypeDescription="Create a new document." ma:contentTypeScope="" ma:versionID="ca165c07e706dbdc203cd6305ef29721">
  <xsd:schema xmlns:xsd="http://www.w3.org/2001/XMLSchema" xmlns:xs="http://www.w3.org/2001/XMLSchema" xmlns:p="http://schemas.microsoft.com/office/2006/metadata/properties" xmlns:ns2="43fdb134-c2a5-46a7-84c2-32488f7ac4ae" xmlns:ns3="1f53bf18-e89f-4438-9fa3-76ce80cacc6f" targetNamespace="http://schemas.microsoft.com/office/2006/metadata/properties" ma:root="true" ma:fieldsID="02d89542875bc55bb5ff109b24a42efe" ns2:_="" ns3:_="">
    <xsd:import namespace="43fdb134-c2a5-46a7-84c2-32488f7ac4ae"/>
    <xsd:import namespace="1f53bf18-e89f-4438-9fa3-76ce80cacc6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fdb134-c2a5-46a7-84c2-32488f7ac4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53bf18-e89f-4438-9fa3-76ce80cacc6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ac4af9d-4d07-4f92-a0e3-bb6b270c0793}" ma:internalName="TaxCatchAll" ma:showField="CatchAllData" ma:web="1f53bf18-e89f-4438-9fa3-76ce80cacc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3fdb134-c2a5-46a7-84c2-32488f7ac4ae">
      <Terms xmlns="http://schemas.microsoft.com/office/infopath/2007/PartnerControls"/>
    </lcf76f155ced4ddcb4097134ff3c332f>
    <TaxCatchAll xmlns="1f53bf18-e89f-4438-9fa3-76ce80cacc6f" xsi:nil="true"/>
  </documentManagement>
</p:properties>
</file>

<file path=customXml/itemProps1.xml><?xml version="1.0" encoding="utf-8"?>
<ds:datastoreItem xmlns:ds="http://schemas.openxmlformats.org/officeDocument/2006/customXml" ds:itemID="{01E5B6DC-11C6-4E82-91C2-40B7EBB1E5E5}"/>
</file>

<file path=customXml/itemProps2.xml><?xml version="1.0" encoding="utf-8"?>
<ds:datastoreItem xmlns:ds="http://schemas.openxmlformats.org/officeDocument/2006/customXml" ds:itemID="{23A41352-B69E-4517-8CF6-C2ECCCBE172F}"/>
</file>

<file path=customXml/itemProps3.xml><?xml version="1.0" encoding="utf-8"?>
<ds:datastoreItem xmlns:ds="http://schemas.openxmlformats.org/officeDocument/2006/customXml" ds:itemID="{62ACB668-936B-4C16-B984-F0310F3F9D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2025-06-24T17:49:12Z</dcterms:created>
  <dcterms:modified xsi:type="dcterms:W3CDTF">2025-09-04T21:10:10Z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0x010100CF42BD4761D91D43B98AD76CD5F910EB</vt:lpwstr>
  </property>
  <property fmtid="{D5CDD505-2E9C-101B-9397-08002B2CF9AE}" pid="3" name="MediaServiceImageTags">
    <vt:lpwstr/>
  </property>
</Properties>
</file>